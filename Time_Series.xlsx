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9c8ef6b563eae5/Documents/"/>
    </mc:Choice>
  </mc:AlternateContent>
  <xr:revisionPtr revIDLastSave="8" documentId="8_{A1DC9F38-CD59-4C73-8BC4-F36CAC3932C8}" xr6:coauthVersionLast="47" xr6:coauthVersionMax="47" xr10:uidLastSave="{4E126DF0-7A18-40A2-B2A1-83B1CC111B8D}"/>
  <bookViews>
    <workbookView xWindow="-110" yWindow="-110" windowWidth="19420" windowHeight="10300" activeTab="1" xr2:uid="{45FEA680-0358-4AD8-A59A-99B0BC7ED677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4" l="1"/>
  <c r="J19" i="4"/>
  <c r="J45" i="4"/>
  <c r="J44" i="4"/>
  <c r="J43" i="4"/>
  <c r="J40" i="4"/>
  <c r="J39" i="4"/>
  <c r="J38" i="4"/>
  <c r="J35" i="4"/>
  <c r="J34" i="4"/>
  <c r="J33" i="4"/>
  <c r="J30" i="4"/>
  <c r="J29" i="4"/>
  <c r="J28" i="4"/>
  <c r="J25" i="4"/>
  <c r="J24" i="4"/>
  <c r="J23" i="4"/>
  <c r="J20" i="4"/>
  <c r="J15" i="4"/>
  <c r="J14" i="4"/>
  <c r="J13" i="4"/>
  <c r="J10" i="4"/>
  <c r="J9" i="4"/>
  <c r="J8" i="4"/>
  <c r="J5" i="4"/>
  <c r="J4" i="4"/>
  <c r="J3" i="4"/>
  <c r="D4" i="4"/>
  <c r="D90" i="4"/>
  <c r="D89" i="4"/>
  <c r="D88" i="4"/>
  <c r="D95" i="4"/>
  <c r="D94" i="4"/>
  <c r="D93" i="4"/>
  <c r="D100" i="4"/>
  <c r="D99" i="4"/>
  <c r="D98" i="4"/>
  <c r="D105" i="4"/>
  <c r="D104" i="4"/>
  <c r="D103" i="4"/>
  <c r="D110" i="4"/>
  <c r="D109" i="4"/>
  <c r="D108" i="4"/>
  <c r="D115" i="4"/>
  <c r="D114" i="4"/>
  <c r="D113" i="4"/>
  <c r="D120" i="4"/>
  <c r="D119" i="4"/>
  <c r="D118" i="4"/>
  <c r="D125" i="4"/>
  <c r="D124" i="4"/>
  <c r="D123" i="4"/>
  <c r="D130" i="4"/>
  <c r="D129" i="4"/>
  <c r="D128" i="4"/>
  <c r="D135" i="4"/>
  <c r="D134" i="4"/>
  <c r="D133" i="4"/>
  <c r="D140" i="4"/>
  <c r="D139" i="4"/>
  <c r="D138" i="4"/>
  <c r="D145" i="4"/>
  <c r="D144" i="4"/>
  <c r="D143" i="4"/>
  <c r="D85" i="4"/>
  <c r="D84" i="4"/>
  <c r="D83" i="4"/>
  <c r="D80" i="4"/>
  <c r="D79" i="4"/>
  <c r="D78" i="4"/>
  <c r="D75" i="4"/>
  <c r="D74" i="4"/>
  <c r="D73" i="4"/>
  <c r="D70" i="4"/>
  <c r="D69" i="4"/>
  <c r="D68" i="4"/>
  <c r="D65" i="4"/>
  <c r="D64" i="4"/>
  <c r="D63" i="4"/>
  <c r="D60" i="4"/>
  <c r="D59" i="4"/>
  <c r="D58" i="4"/>
  <c r="D55" i="4"/>
  <c r="D54" i="4"/>
  <c r="D53" i="4"/>
  <c r="D49" i="4"/>
  <c r="D50" i="4"/>
  <c r="D48" i="4"/>
  <c r="D45" i="4"/>
  <c r="D44" i="4"/>
  <c r="D43" i="4"/>
  <c r="D40" i="4"/>
  <c r="D39" i="4"/>
  <c r="D38" i="4"/>
  <c r="D35" i="4"/>
  <c r="D34" i="4"/>
  <c r="D33" i="4"/>
  <c r="D30" i="4"/>
  <c r="D29" i="4"/>
  <c r="D28" i="4"/>
  <c r="D24" i="4"/>
  <c r="D25" i="4"/>
  <c r="D23" i="4"/>
  <c r="D19" i="4"/>
  <c r="D20" i="4"/>
  <c r="D18" i="4"/>
  <c r="D14" i="4"/>
  <c r="D15" i="4"/>
  <c r="D13" i="4"/>
  <c r="D9" i="4"/>
  <c r="D8" i="4"/>
  <c r="D10" i="4"/>
  <c r="D5" i="4"/>
  <c r="D3" i="4"/>
</calcChain>
</file>

<file path=xl/sharedStrings.xml><?xml version="1.0" encoding="utf-8"?>
<sst xmlns="http://schemas.openxmlformats.org/spreadsheetml/2006/main" count="270" uniqueCount="76">
  <si>
    <t>Kabupaten/Kota</t>
  </si>
  <si>
    <t>TPT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</si>
  <si>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</si>
  <si>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</si>
  <si>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</si>
  <si>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</si>
  <si>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</si>
  <si>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</si>
  <si>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</si>
  <si>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</si>
  <si>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</si>
  <si>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</si>
  <si>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</si>
  <si>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</si>
  <si>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</si>
  <si>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</si>
  <si>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</si>
  <si>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</si>
  <si>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</si>
  <si>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</si>
  <si>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</si>
  <si>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</si>
  <si>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 xml:space="preserve">Ngawi 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</si>
  <si>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</si>
  <si>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</si>
  <si>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</si>
  <si>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</si>
  <si>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</si>
  <si>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</si>
  <si>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</si>
  <si>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</si>
  <si>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</si>
  <si>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</si>
  <si>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r>
      <t>Kota/</t>
    </r>
    <r>
      <rPr>
        <b/>
        <i/>
        <sz val="12"/>
        <color theme="1"/>
        <rFont val="Times New Roman"/>
        <family val="1"/>
      </rPr>
      <t>Muncipality</t>
    </r>
  </si>
  <si>
    <t>Kab. Pacitan</t>
  </si>
  <si>
    <t>t</t>
  </si>
  <si>
    <t>Ramalan</t>
  </si>
  <si>
    <t>α=0,5</t>
  </si>
  <si>
    <t>Tahun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</si>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</sst>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5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2" borderId="6" xfId="0" applyFont="1" applyFill="1" applyBorder="1"/>
    <xf numFmtId="0" fontId="2" fillId="0" borderId="1" xfId="0" applyFont="1" applyBorder="1"/>
    <xf numFmtId="0" fontId="1" fillId="2" borderId="5" xfId="0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</a:t>
            </a:r>
            <a:r>
              <a:rPr lang="en-ID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Penurunan TPT Kabupaten Jawa Timur Tahun 2023-2025</a:t>
            </a:r>
            <a:endParaRPr lang="en-ID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TPT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Sheet1!$A$3:$A$31</c:f>
              <c:strCache>
                <c:ptCount val="29"/>
                <c:pt idx="0">
                  <c:v>Pacitan</c:v>
                </c:pt>
                <c:pt idx="1">
                  <c:v>Ponorogo</c:v>
                </c:pt>
                <c:pt idx="2">
                  <c:v>Trenggalek</c:v>
                </c:pt>
                <c:pt idx="3">
                  <c:v>Tulungagung</c:v>
                </c:pt>
                <c:pt idx="4">
                  <c:v>Blitar</c:v>
                </c:pt>
                <c:pt idx="5">
                  <c:v>Kediri</c:v>
                </c:pt>
                <c:pt idx="6">
                  <c:v>Malang</c:v>
                </c:pt>
                <c:pt idx="7">
                  <c:v>Lumajang</c:v>
                </c:pt>
                <c:pt idx="8">
                  <c:v>Jember</c:v>
                </c:pt>
                <c:pt idx="9">
                  <c:v>Banyuwangi</c:v>
                </c:pt>
                <c:pt idx="10">
                  <c:v>Bondowoso</c:v>
                </c:pt>
                <c:pt idx="11">
                  <c:v>Situbondo</c:v>
                </c:pt>
                <c:pt idx="12">
                  <c:v>Probolinggo</c:v>
                </c:pt>
                <c:pt idx="13">
                  <c:v>Pasuruan</c:v>
                </c:pt>
                <c:pt idx="14">
                  <c:v>Sidoarjo</c:v>
                </c:pt>
                <c:pt idx="15">
                  <c:v>Mojokerto</c:v>
                </c:pt>
                <c:pt idx="16">
                  <c:v>Jombang</c:v>
                </c:pt>
                <c:pt idx="17">
                  <c:v>Nganjuk</c:v>
                </c:pt>
                <c:pt idx="18">
                  <c:v>Madiun</c:v>
                </c:pt>
                <c:pt idx="19">
                  <c:v>Magetan</c:v>
                </c:pt>
                <c:pt idx="20">
                  <c:v>Ngawi </c:v>
                </c:pt>
                <c:pt idx="21">
                  <c:v>Bojonegoro</c:v>
                </c:pt>
                <c:pt idx="22">
                  <c:v>Tuban</c:v>
                </c:pt>
                <c:pt idx="23">
                  <c:v>Lamongan</c:v>
                </c:pt>
                <c:pt idx="24">
                  <c:v>Gresik</c:v>
                </c:pt>
                <c:pt idx="25">
                  <c:v>Bangkalan</c:v>
                </c:pt>
                <c:pt idx="26">
                  <c:v>Sampang</c:v>
                </c:pt>
                <c:pt idx="27">
                  <c:v>Pamekasan</c:v>
                </c:pt>
                <c:pt idx="28">
                  <c:v>Sumenep</c:v>
                </c:pt>
              </c:strCache>
            </c:strRef>
          </c:cat>
          <c:val>
            <c:numRef>
              <c:f>Sheet1!$B$3:$B$31</c:f>
              <c:numCache>
                <c:formatCode>General</c:formatCode>
                <c:ptCount val="29"/>
                <c:pt idx="0">
                  <c:v>1.83</c:v>
                </c:pt>
                <c:pt idx="1">
                  <c:v>4.66</c:v>
                </c:pt>
                <c:pt idx="2">
                  <c:v>4.5199999999999996</c:v>
                </c:pt>
                <c:pt idx="3">
                  <c:v>5.65</c:v>
                </c:pt>
                <c:pt idx="4">
                  <c:v>4.91</c:v>
                </c:pt>
                <c:pt idx="5">
                  <c:v>5.79</c:v>
                </c:pt>
                <c:pt idx="6">
                  <c:v>5.7</c:v>
                </c:pt>
                <c:pt idx="7">
                  <c:v>3.67</c:v>
                </c:pt>
                <c:pt idx="8">
                  <c:v>4.01</c:v>
                </c:pt>
                <c:pt idx="9">
                  <c:v>4.75</c:v>
                </c:pt>
                <c:pt idx="10">
                  <c:v>4.1500000000000004</c:v>
                </c:pt>
                <c:pt idx="11">
                  <c:v>3.27</c:v>
                </c:pt>
                <c:pt idx="12">
                  <c:v>3.24</c:v>
                </c:pt>
                <c:pt idx="13">
                  <c:v>5.48</c:v>
                </c:pt>
                <c:pt idx="14">
                  <c:v>8.0500000000000007</c:v>
                </c:pt>
                <c:pt idx="15">
                  <c:v>4.67</c:v>
                </c:pt>
                <c:pt idx="16">
                  <c:v>4.66</c:v>
                </c:pt>
                <c:pt idx="17">
                  <c:v>4.68</c:v>
                </c:pt>
                <c:pt idx="18">
                  <c:v>5.14</c:v>
                </c:pt>
                <c:pt idx="19">
                  <c:v>4.16</c:v>
                </c:pt>
                <c:pt idx="20">
                  <c:v>2.41</c:v>
                </c:pt>
                <c:pt idx="21">
                  <c:v>4.63</c:v>
                </c:pt>
                <c:pt idx="22">
                  <c:v>4.4000000000000004</c:v>
                </c:pt>
                <c:pt idx="23">
                  <c:v>5.46</c:v>
                </c:pt>
                <c:pt idx="24">
                  <c:v>6.82</c:v>
                </c:pt>
                <c:pt idx="25">
                  <c:v>6.18</c:v>
                </c:pt>
                <c:pt idx="26">
                  <c:v>2.72</c:v>
                </c:pt>
                <c:pt idx="27">
                  <c:v>1.74</c:v>
                </c:pt>
                <c:pt idx="28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D-464C-9EEF-129AED7F4A92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TPT</c:v>
                </c:pt>
                <c:pt idx="1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Sheet1!$A$3:$A$31</c:f>
              <c:strCache>
                <c:ptCount val="29"/>
                <c:pt idx="0">
                  <c:v>Pacitan</c:v>
                </c:pt>
                <c:pt idx="1">
                  <c:v>Ponorogo</c:v>
                </c:pt>
                <c:pt idx="2">
                  <c:v>Trenggalek</c:v>
                </c:pt>
                <c:pt idx="3">
                  <c:v>Tulungagung</c:v>
                </c:pt>
                <c:pt idx="4">
                  <c:v>Blitar</c:v>
                </c:pt>
                <c:pt idx="5">
                  <c:v>Kediri</c:v>
                </c:pt>
                <c:pt idx="6">
                  <c:v>Malang</c:v>
                </c:pt>
                <c:pt idx="7">
                  <c:v>Lumajang</c:v>
                </c:pt>
                <c:pt idx="8">
                  <c:v>Jember</c:v>
                </c:pt>
                <c:pt idx="9">
                  <c:v>Banyuwangi</c:v>
                </c:pt>
                <c:pt idx="10">
                  <c:v>Bondowoso</c:v>
                </c:pt>
                <c:pt idx="11">
                  <c:v>Situbondo</c:v>
                </c:pt>
                <c:pt idx="12">
                  <c:v>Probolinggo</c:v>
                </c:pt>
                <c:pt idx="13">
                  <c:v>Pasuruan</c:v>
                </c:pt>
                <c:pt idx="14">
                  <c:v>Sidoarjo</c:v>
                </c:pt>
                <c:pt idx="15">
                  <c:v>Mojokerto</c:v>
                </c:pt>
                <c:pt idx="16">
                  <c:v>Jombang</c:v>
                </c:pt>
                <c:pt idx="17">
                  <c:v>Nganjuk</c:v>
                </c:pt>
                <c:pt idx="18">
                  <c:v>Madiun</c:v>
                </c:pt>
                <c:pt idx="19">
                  <c:v>Magetan</c:v>
                </c:pt>
                <c:pt idx="20">
                  <c:v>Ngawi </c:v>
                </c:pt>
                <c:pt idx="21">
                  <c:v>Bojonegoro</c:v>
                </c:pt>
                <c:pt idx="22">
                  <c:v>Tuban</c:v>
                </c:pt>
                <c:pt idx="23">
                  <c:v>Lamongan</c:v>
                </c:pt>
                <c:pt idx="24">
                  <c:v>Gresik</c:v>
                </c:pt>
                <c:pt idx="25">
                  <c:v>Bangkalan</c:v>
                </c:pt>
                <c:pt idx="26">
                  <c:v>Sampang</c:v>
                </c:pt>
                <c:pt idx="27">
                  <c:v>Pamekasan</c:v>
                </c:pt>
                <c:pt idx="28">
                  <c:v>Sumenep</c:v>
                </c:pt>
              </c:strCache>
            </c:strRef>
          </c:cat>
          <c:val>
            <c:numRef>
              <c:f>Sheet1!$C$3:$C$31</c:f>
              <c:numCache>
                <c:formatCode>General</c:formatCode>
                <c:ptCount val="29"/>
                <c:pt idx="0">
                  <c:v>1.56</c:v>
                </c:pt>
                <c:pt idx="1">
                  <c:v>4.1900000000000004</c:v>
                </c:pt>
                <c:pt idx="2">
                  <c:v>3.9</c:v>
                </c:pt>
                <c:pt idx="3">
                  <c:v>4.12</c:v>
                </c:pt>
                <c:pt idx="4">
                  <c:v>4.7699999999999996</c:v>
                </c:pt>
                <c:pt idx="5">
                  <c:v>5.0999999999999996</c:v>
                </c:pt>
                <c:pt idx="6">
                  <c:v>5.13</c:v>
                </c:pt>
                <c:pt idx="7">
                  <c:v>3.28</c:v>
                </c:pt>
                <c:pt idx="8">
                  <c:v>3.23</c:v>
                </c:pt>
                <c:pt idx="9">
                  <c:v>4.03</c:v>
                </c:pt>
                <c:pt idx="10">
                  <c:v>3.63</c:v>
                </c:pt>
                <c:pt idx="11">
                  <c:v>3.15</c:v>
                </c:pt>
                <c:pt idx="12">
                  <c:v>3</c:v>
                </c:pt>
                <c:pt idx="13">
                  <c:v>5.0199999999999996</c:v>
                </c:pt>
                <c:pt idx="14">
                  <c:v>6.49</c:v>
                </c:pt>
                <c:pt idx="15">
                  <c:v>3.87</c:v>
                </c:pt>
                <c:pt idx="16">
                  <c:v>3.75</c:v>
                </c:pt>
                <c:pt idx="17">
                  <c:v>3.87</c:v>
                </c:pt>
                <c:pt idx="18">
                  <c:v>4.34</c:v>
                </c:pt>
                <c:pt idx="19">
                  <c:v>3.28</c:v>
                </c:pt>
                <c:pt idx="20">
                  <c:v>2.4</c:v>
                </c:pt>
                <c:pt idx="21">
                  <c:v>4.42</c:v>
                </c:pt>
                <c:pt idx="22">
                  <c:v>4.28</c:v>
                </c:pt>
                <c:pt idx="23">
                  <c:v>4.34</c:v>
                </c:pt>
                <c:pt idx="24">
                  <c:v>6.45</c:v>
                </c:pt>
                <c:pt idx="25">
                  <c:v>5.35</c:v>
                </c:pt>
                <c:pt idx="26">
                  <c:v>2.5</c:v>
                </c:pt>
                <c:pt idx="27">
                  <c:v>1.64</c:v>
                </c:pt>
                <c:pt idx="28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D-464C-9EEF-129AED7F4A92}"/>
            </c:ext>
          </c:extLst>
        </c:ser>
        <c:ser>
          <c:idx val="2"/>
          <c:order val="2"/>
          <c:tx>
            <c:strRef>
              <c:f>Sheet1!$D$1:$D$2</c:f>
              <c:strCache>
                <c:ptCount val="2"/>
                <c:pt idx="0">
                  <c:v>TPT</c:v>
                </c:pt>
                <c:pt idx="1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Sheet1!$A$3:$A$31</c:f>
              <c:strCache>
                <c:ptCount val="29"/>
                <c:pt idx="0">
                  <c:v>Pacitan</c:v>
                </c:pt>
                <c:pt idx="1">
                  <c:v>Ponorogo</c:v>
                </c:pt>
                <c:pt idx="2">
                  <c:v>Trenggalek</c:v>
                </c:pt>
                <c:pt idx="3">
                  <c:v>Tulungagung</c:v>
                </c:pt>
                <c:pt idx="4">
                  <c:v>Blitar</c:v>
                </c:pt>
                <c:pt idx="5">
                  <c:v>Kediri</c:v>
                </c:pt>
                <c:pt idx="6">
                  <c:v>Malang</c:v>
                </c:pt>
                <c:pt idx="7">
                  <c:v>Lumajang</c:v>
                </c:pt>
                <c:pt idx="8">
                  <c:v>Jember</c:v>
                </c:pt>
                <c:pt idx="9">
                  <c:v>Banyuwangi</c:v>
                </c:pt>
                <c:pt idx="10">
                  <c:v>Bondowoso</c:v>
                </c:pt>
                <c:pt idx="11">
                  <c:v>Situbondo</c:v>
                </c:pt>
                <c:pt idx="12">
                  <c:v>Probolinggo</c:v>
                </c:pt>
                <c:pt idx="13">
                  <c:v>Pasuruan</c:v>
                </c:pt>
                <c:pt idx="14">
                  <c:v>Sidoarjo</c:v>
                </c:pt>
                <c:pt idx="15">
                  <c:v>Mojokerto</c:v>
                </c:pt>
                <c:pt idx="16">
                  <c:v>Jombang</c:v>
                </c:pt>
                <c:pt idx="17">
                  <c:v>Nganjuk</c:v>
                </c:pt>
                <c:pt idx="18">
                  <c:v>Madiun</c:v>
                </c:pt>
                <c:pt idx="19">
                  <c:v>Magetan</c:v>
                </c:pt>
                <c:pt idx="20">
                  <c:v>Ngawi </c:v>
                </c:pt>
                <c:pt idx="21">
                  <c:v>Bojonegoro</c:v>
                </c:pt>
                <c:pt idx="22">
                  <c:v>Tuban</c:v>
                </c:pt>
                <c:pt idx="23">
                  <c:v>Lamongan</c:v>
                </c:pt>
                <c:pt idx="24">
                  <c:v>Gresik</c:v>
                </c:pt>
                <c:pt idx="25">
                  <c:v>Bangkalan</c:v>
                </c:pt>
                <c:pt idx="26">
                  <c:v>Sampang</c:v>
                </c:pt>
                <c:pt idx="27">
                  <c:v>Pamekasan</c:v>
                </c:pt>
                <c:pt idx="28">
                  <c:v>Sumenep</c:v>
                </c:pt>
              </c:strCache>
            </c:strRef>
          </c:cat>
          <c:val>
            <c:numRef>
              <c:f>Sheet1!$D$3:$D$31</c:f>
              <c:numCache>
                <c:formatCode>General</c:formatCode>
                <c:ptCount val="29"/>
                <c:pt idx="0">
                  <c:v>1.4</c:v>
                </c:pt>
                <c:pt idx="1">
                  <c:v>3.85</c:v>
                </c:pt>
                <c:pt idx="2">
                  <c:v>3.86</c:v>
                </c:pt>
                <c:pt idx="3">
                  <c:v>4.03</c:v>
                </c:pt>
                <c:pt idx="4">
                  <c:v>4.49</c:v>
                </c:pt>
                <c:pt idx="5">
                  <c:v>4.71</c:v>
                </c:pt>
                <c:pt idx="6">
                  <c:v>5</c:v>
                </c:pt>
                <c:pt idx="7">
                  <c:v>3.08</c:v>
                </c:pt>
                <c:pt idx="8">
                  <c:v>3.07</c:v>
                </c:pt>
                <c:pt idx="9">
                  <c:v>3.94</c:v>
                </c:pt>
                <c:pt idx="10">
                  <c:v>2.5499999999999998</c:v>
                </c:pt>
                <c:pt idx="11">
                  <c:v>3.02</c:v>
                </c:pt>
                <c:pt idx="12">
                  <c:v>2.92</c:v>
                </c:pt>
                <c:pt idx="13">
                  <c:v>4.22</c:v>
                </c:pt>
                <c:pt idx="14">
                  <c:v>5.75</c:v>
                </c:pt>
                <c:pt idx="15">
                  <c:v>3.49</c:v>
                </c:pt>
                <c:pt idx="16">
                  <c:v>3.28</c:v>
                </c:pt>
                <c:pt idx="17">
                  <c:v>3.84</c:v>
                </c:pt>
                <c:pt idx="18">
                  <c:v>3.22</c:v>
                </c:pt>
                <c:pt idx="19">
                  <c:v>3.26</c:v>
                </c:pt>
                <c:pt idx="20">
                  <c:v>2.2599999999999998</c:v>
                </c:pt>
                <c:pt idx="21">
                  <c:v>3.9</c:v>
                </c:pt>
                <c:pt idx="22">
                  <c:v>3.44</c:v>
                </c:pt>
                <c:pt idx="23">
                  <c:v>4.29</c:v>
                </c:pt>
                <c:pt idx="24">
                  <c:v>5.47</c:v>
                </c:pt>
                <c:pt idx="25">
                  <c:v>5.31</c:v>
                </c:pt>
                <c:pt idx="26">
                  <c:v>2.44</c:v>
                </c:pt>
                <c:pt idx="27">
                  <c:v>1.33</c:v>
                </c:pt>
                <c:pt idx="28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D-464C-9EEF-129AED7F4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226208"/>
        <c:axId val="473224768"/>
      </c:lineChart>
      <c:catAx>
        <c:axId val="47322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73224768"/>
        <c:crosses val="autoZero"/>
        <c:auto val="1"/>
        <c:lblAlgn val="ctr"/>
        <c:lblOffset val="100"/>
        <c:noMultiLvlLbl val="0"/>
      </c:catAx>
      <c:valAx>
        <c:axId val="4732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7322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 Penurunan TPT Kota Jawa Timur Tahun 2023-2025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Sheet1!$B$34:$B$35</c:f>
              <c:strCache>
                <c:ptCount val="2"/>
                <c:pt idx="0">
                  <c:v>TPT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Sheet1!$A$36:$A$44</c:f>
              <c:strCache>
                <c:ptCount val="9"/>
                <c:pt idx="0">
                  <c:v>Kediri</c:v>
                </c:pt>
                <c:pt idx="1">
                  <c:v>Blitar</c:v>
                </c:pt>
                <c:pt idx="2">
                  <c:v>Malang</c:v>
                </c:pt>
                <c:pt idx="3">
                  <c:v>Probolinggo</c:v>
                </c:pt>
                <c:pt idx="4">
                  <c:v>Pasuruan</c:v>
                </c:pt>
                <c:pt idx="5">
                  <c:v>Mojokerto</c:v>
                </c:pt>
                <c:pt idx="6">
                  <c:v>Madiun</c:v>
                </c:pt>
                <c:pt idx="7">
                  <c:v>Surabaya</c:v>
                </c:pt>
                <c:pt idx="8">
                  <c:v>Batu</c:v>
                </c:pt>
              </c:strCache>
            </c:strRef>
          </c:cat>
          <c:val>
            <c:numRef>
              <c:f>Sheet1!$B$36:$B$44</c:f>
              <c:numCache>
                <c:formatCode>General</c:formatCode>
                <c:ptCount val="9"/>
                <c:pt idx="0">
                  <c:v>4.0599999999999996</c:v>
                </c:pt>
                <c:pt idx="1">
                  <c:v>5.24</c:v>
                </c:pt>
                <c:pt idx="2">
                  <c:v>6.8</c:v>
                </c:pt>
                <c:pt idx="3">
                  <c:v>4.53</c:v>
                </c:pt>
                <c:pt idx="4">
                  <c:v>5.64</c:v>
                </c:pt>
                <c:pt idx="5">
                  <c:v>4.7300000000000004</c:v>
                </c:pt>
                <c:pt idx="6">
                  <c:v>5.85</c:v>
                </c:pt>
                <c:pt idx="7">
                  <c:v>6.76</c:v>
                </c:pt>
                <c:pt idx="8">
                  <c:v>4.5199999999999996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E-43E5-A77C-8E1AA21B205C}"/>
            </c:ext>
          </c:extLst>
        </c:ser>
        <c:ser>
          <c:idx val="1"/>
          <c:order val="1"/>
          <c:tx>
            <c:strRef>
              <c:f>Sheet1!$C$34:$C$35</c:f>
              <c:strCache>
                <c:ptCount val="2"/>
                <c:pt idx="0">
                  <c:v>TPT</c:v>
                </c:pt>
                <c:pt idx="1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Sheet1!$A$36:$A$44</c:f>
              <c:strCache>
                <c:ptCount val="9"/>
                <c:pt idx="0">
                  <c:v>Kediri</c:v>
                </c:pt>
                <c:pt idx="1">
                  <c:v>Blitar</c:v>
                </c:pt>
                <c:pt idx="2">
                  <c:v>Malang</c:v>
                </c:pt>
                <c:pt idx="3">
                  <c:v>Probolinggo</c:v>
                </c:pt>
                <c:pt idx="4">
                  <c:v>Pasuruan</c:v>
                </c:pt>
                <c:pt idx="5">
                  <c:v>Mojokerto</c:v>
                </c:pt>
                <c:pt idx="6">
                  <c:v>Madiun</c:v>
                </c:pt>
                <c:pt idx="7">
                  <c:v>Surabaya</c:v>
                </c:pt>
                <c:pt idx="8">
                  <c:v>Batu</c:v>
                </c:pt>
              </c:strCache>
            </c:strRef>
          </c:cat>
          <c:val>
            <c:numRef>
              <c:f>Sheet1!$C$36:$C$44</c:f>
              <c:numCache>
                <c:formatCode>General</c:formatCode>
                <c:ptCount val="9"/>
                <c:pt idx="0">
                  <c:v>3.91</c:v>
                </c:pt>
                <c:pt idx="1">
                  <c:v>5.1100000000000003</c:v>
                </c:pt>
                <c:pt idx="2">
                  <c:v>6.1</c:v>
                </c:pt>
                <c:pt idx="3">
                  <c:v>4.4400000000000004</c:v>
                </c:pt>
                <c:pt idx="4">
                  <c:v>4.63</c:v>
                </c:pt>
                <c:pt idx="5">
                  <c:v>3.76</c:v>
                </c:pt>
                <c:pt idx="6">
                  <c:v>4.3</c:v>
                </c:pt>
                <c:pt idx="7">
                  <c:v>4.91</c:v>
                </c:pt>
                <c:pt idx="8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E-43E5-A77C-8E1AA21B205C}"/>
            </c:ext>
          </c:extLst>
        </c:ser>
        <c:ser>
          <c:idx val="2"/>
          <c:order val="2"/>
          <c:tx>
            <c:strRef>
              <c:f>Sheet1!$D$34:$D$35</c:f>
              <c:strCache>
                <c:ptCount val="2"/>
                <c:pt idx="0">
                  <c:v>TPT</c:v>
                </c:pt>
                <c:pt idx="1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Sheet1!$A$36:$A$44</c:f>
              <c:strCache>
                <c:ptCount val="9"/>
                <c:pt idx="0">
                  <c:v>Kediri</c:v>
                </c:pt>
                <c:pt idx="1">
                  <c:v>Blitar</c:v>
                </c:pt>
                <c:pt idx="2">
                  <c:v>Malang</c:v>
                </c:pt>
                <c:pt idx="3">
                  <c:v>Probolinggo</c:v>
                </c:pt>
                <c:pt idx="4">
                  <c:v>Pasuruan</c:v>
                </c:pt>
                <c:pt idx="5">
                  <c:v>Mojokerto</c:v>
                </c:pt>
                <c:pt idx="6">
                  <c:v>Madiun</c:v>
                </c:pt>
                <c:pt idx="7">
                  <c:v>Surabaya</c:v>
                </c:pt>
                <c:pt idx="8">
                  <c:v>Batu</c:v>
                </c:pt>
              </c:strCache>
            </c:strRef>
          </c:cat>
          <c:val>
            <c:numRef>
              <c:f>Sheet1!$D$36:$D$44</c:f>
              <c:numCache>
                <c:formatCode>General</c:formatCode>
                <c:ptCount val="9"/>
                <c:pt idx="0">
                  <c:v>3.76</c:v>
                </c:pt>
                <c:pt idx="1">
                  <c:v>4.28</c:v>
                </c:pt>
                <c:pt idx="2">
                  <c:v>5.69</c:v>
                </c:pt>
                <c:pt idx="3">
                  <c:v>4.93</c:v>
                </c:pt>
                <c:pt idx="4">
                  <c:v>4.59</c:v>
                </c:pt>
                <c:pt idx="5">
                  <c:v>4.66</c:v>
                </c:pt>
                <c:pt idx="6">
                  <c:v>4.29</c:v>
                </c:pt>
                <c:pt idx="7">
                  <c:v>4.84</c:v>
                </c:pt>
                <c:pt idx="8">
                  <c:v>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FE-43E5-A77C-8E1AA21B2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044064"/>
        <c:axId val="704037344"/>
      </c:lineChart>
      <c:catAx>
        <c:axId val="70404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4037344"/>
        <c:crosses val="autoZero"/>
        <c:auto val="1"/>
        <c:lblAlgn val="ctr"/>
        <c:lblOffset val="100"/>
        <c:noMultiLvlLbl val="0"/>
      </c:catAx>
      <c:valAx>
        <c:axId val="70403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404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6350</xdr:rowOff>
    </xdr:from>
    <xdr:to>
      <xdr:col>8</xdr:col>
      <xdr:colOff>19050</xdr:colOff>
      <xdr:row>65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CB42B-9A72-A582-B687-267696E7D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67</xdr:row>
      <xdr:rowOff>31750</xdr:rowOff>
    </xdr:from>
    <xdr:to>
      <xdr:col>8</xdr:col>
      <xdr:colOff>88900</xdr:colOff>
      <xdr:row>84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53EBDB-8B8F-D62D-E47F-586006605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D55B-EBE3-49D5-88A4-83479D02D39D}">
  <dimension ref="A1:D44"/>
  <sheetViews>
    <sheetView workbookViewId="0">
      <selection activeCell="C14" sqref="C14"/>
    </sheetView>
  </sheetViews>
  <sheetFormatPr defaultRowHeight="15.5" x14ac:dyDescent="0.35"/>
  <cols>
    <col min="1" max="1" width="15.90625" style="4" bestFit="1" customWidth="1"/>
    <col min="2" max="16384" width="8.7265625" style="4"/>
  </cols>
  <sheetData>
    <row r="1" spans="1:4" x14ac:dyDescent="0.35">
      <c r="A1" s="1" t="s">
        <v>0</v>
      </c>
      <c r="B1" s="11" t="s">
        <v>1</v>
      </c>
      <c r="C1" s="12"/>
      <c r="D1" s="12"/>
    </row>
    <row r="2" spans="1:4" x14ac:dyDescent="0.35">
      <c r="A2" s="5"/>
      <c r="B2" s="2">
        <v>2023</v>
      </c>
      <c r="C2" s="3">
        <v>2024</v>
      </c>
      <c r="D2" s="3">
        <v>2025</v>
      </c>
    </row>
    <row r="3" spans="1:4" x14ac:dyDescent="0.35">
      <c r="A3" s="6" t="s">
        <v>2</v>
      </c>
      <c r="B3" s="6">
        <v>1.83</v>
      </c>
      <c r="C3" s="6">
        <v>1.56</v>
      </c>
      <c r="D3" s="6">
        <v>1.4</v>
      </c>
    </row>
    <row r="4" spans="1:4" x14ac:dyDescent="0.35">
      <c r="A4" s="6" t="s">
        <v>3</v>
      </c>
      <c r="B4" s="6">
        <v>4.66</v>
      </c>
      <c r="C4" s="6">
        <v>4.1900000000000004</v>
      </c>
      <c r="D4" s="6">
        <v>3.85</v>
      </c>
    </row>
    <row r="5" spans="1:4" x14ac:dyDescent="0.35">
      <c r="A5" s="6" t="s">
        <v>4</v>
      </c>
      <c r="B5" s="6">
        <v>4.5199999999999996</v>
      </c>
      <c r="C5" s="6">
        <v>3.9</v>
      </c>
      <c r="D5" s="6">
        <v>3.86</v>
      </c>
    </row>
    <row r="6" spans="1:4" x14ac:dyDescent="0.35">
      <c r="A6" s="6" t="s">
        <v>5</v>
      </c>
      <c r="B6" s="6">
        <v>5.65</v>
      </c>
      <c r="C6" s="6">
        <v>4.12</v>
      </c>
      <c r="D6" s="6">
        <v>4.03</v>
      </c>
    </row>
    <row r="7" spans="1:4" x14ac:dyDescent="0.35">
      <c r="A7" s="6" t="s">
        <v>6</v>
      </c>
      <c r="B7" s="6">
        <v>4.91</v>
      </c>
      <c r="C7" s="6">
        <v>4.7699999999999996</v>
      </c>
      <c r="D7" s="6">
        <v>4.49</v>
      </c>
    </row>
    <row r="8" spans="1:4" x14ac:dyDescent="0.35">
      <c r="A8" s="6" t="s">
        <v>7</v>
      </c>
      <c r="B8" s="6">
        <v>5.79</v>
      </c>
      <c r="C8" s="6">
        <v>5.0999999999999996</v>
      </c>
      <c r="D8" s="6">
        <v>4.71</v>
      </c>
    </row>
    <row r="9" spans="1:4" x14ac:dyDescent="0.35">
      <c r="A9" s="6" t="s">
        <v>8</v>
      </c>
      <c r="B9" s="6">
        <v>5.7</v>
      </c>
      <c r="C9" s="6">
        <v>5.13</v>
      </c>
      <c r="D9" s="6">
        <v>5</v>
      </c>
    </row>
    <row r="10" spans="1:4" x14ac:dyDescent="0.35">
      <c r="A10" s="6" t="s">
        <v>9</v>
      </c>
      <c r="B10" s="6">
        <v>3.67</v>
      </c>
      <c r="C10" s="6">
        <v>3.28</v>
      </c>
      <c r="D10" s="6">
        <v>3.08</v>
      </c>
    </row>
    <row r="11" spans="1:4" x14ac:dyDescent="0.35">
      <c r="A11" s="6" t="s">
        <v>10</v>
      </c>
      <c r="B11" s="6">
        <v>4.01</v>
      </c>
      <c r="C11" s="6">
        <v>3.23</v>
      </c>
      <c r="D11" s="6">
        <v>3.07</v>
      </c>
    </row>
    <row r="12" spans="1:4" x14ac:dyDescent="0.35">
      <c r="A12" s="6" t="s">
        <v>11</v>
      </c>
      <c r="B12" s="6">
        <v>4.75</v>
      </c>
      <c r="C12" s="6">
        <v>4.03</v>
      </c>
      <c r="D12" s="6">
        <v>3.94</v>
      </c>
    </row>
    <row r="13" spans="1:4" x14ac:dyDescent="0.35">
      <c r="A13" s="6" t="s">
        <v>12</v>
      </c>
      <c r="B13" s="6">
        <v>4.1500000000000004</v>
      </c>
      <c r="C13" s="6">
        <v>3.63</v>
      </c>
      <c r="D13" s="6">
        <v>2.5499999999999998</v>
      </c>
    </row>
    <row r="14" spans="1:4" x14ac:dyDescent="0.35">
      <c r="A14" s="6" t="s">
        <v>13</v>
      </c>
      <c r="B14" s="6">
        <v>3.27</v>
      </c>
      <c r="C14" s="6">
        <v>3.15</v>
      </c>
      <c r="D14" s="6">
        <v>3.02</v>
      </c>
    </row>
    <row r="15" spans="1:4" x14ac:dyDescent="0.35">
      <c r="A15" s="6" t="s">
        <v>14</v>
      </c>
      <c r="B15" s="6">
        <v>3.24</v>
      </c>
      <c r="C15" s="6">
        <v>3</v>
      </c>
      <c r="D15" s="6">
        <v>2.92</v>
      </c>
    </row>
    <row r="16" spans="1:4" x14ac:dyDescent="0.35">
      <c r="A16" s="6" t="s">
        <v>15</v>
      </c>
      <c r="B16" s="6">
        <v>5.48</v>
      </c>
      <c r="C16" s="6">
        <v>5.0199999999999996</v>
      </c>
      <c r="D16" s="6">
        <v>4.22</v>
      </c>
    </row>
    <row r="17" spans="1:4" x14ac:dyDescent="0.35">
      <c r="A17" s="6" t="s">
        <v>16</v>
      </c>
      <c r="B17" s="6">
        <v>8.0500000000000007</v>
      </c>
      <c r="C17" s="6">
        <v>6.49</v>
      </c>
      <c r="D17" s="6">
        <v>5.75</v>
      </c>
    </row>
    <row r="18" spans="1:4" x14ac:dyDescent="0.35">
      <c r="A18" s="6" t="s">
        <v>17</v>
      </c>
      <c r="B18" s="6">
        <v>4.67</v>
      </c>
      <c r="C18" s="6">
        <v>3.87</v>
      </c>
      <c r="D18" s="6">
        <v>3.49</v>
      </c>
    </row>
    <row r="19" spans="1:4" x14ac:dyDescent="0.35">
      <c r="A19" s="6" t="s">
        <v>18</v>
      </c>
      <c r="B19" s="6">
        <v>4.66</v>
      </c>
      <c r="C19" s="6">
        <v>3.75</v>
      </c>
      <c r="D19" s="6">
        <v>3.28</v>
      </c>
    </row>
    <row r="20" spans="1:4" x14ac:dyDescent="0.35">
      <c r="A20" s="6" t="s">
        <v>19</v>
      </c>
      <c r="B20" s="6">
        <v>4.68</v>
      </c>
      <c r="C20" s="6">
        <v>3.87</v>
      </c>
      <c r="D20" s="6">
        <v>3.84</v>
      </c>
    </row>
    <row r="21" spans="1:4" x14ac:dyDescent="0.35">
      <c r="A21" s="6" t="s">
        <v>20</v>
      </c>
      <c r="B21" s="6">
        <v>5.14</v>
      </c>
      <c r="C21" s="6">
        <v>4.34</v>
      </c>
      <c r="D21" s="6">
        <v>3.22</v>
      </c>
    </row>
    <row r="22" spans="1:4" x14ac:dyDescent="0.35">
      <c r="A22" s="6" t="s">
        <v>21</v>
      </c>
      <c r="B22" s="6">
        <v>4.16</v>
      </c>
      <c r="C22" s="6">
        <v>3.28</v>
      </c>
      <c r="D22" s="6">
        <v>3.26</v>
      </c>
    </row>
    <row r="23" spans="1:4" x14ac:dyDescent="0.35">
      <c r="A23" s="6" t="s">
        <v>22</v>
      </c>
      <c r="B23" s="6">
        <v>2.41</v>
      </c>
      <c r="C23" s="6">
        <v>2.4</v>
      </c>
      <c r="D23" s="6">
        <v>2.2599999999999998</v>
      </c>
    </row>
    <row r="24" spans="1:4" x14ac:dyDescent="0.35">
      <c r="A24" s="6" t="s">
        <v>23</v>
      </c>
      <c r="B24" s="6">
        <v>4.63</v>
      </c>
      <c r="C24" s="6">
        <v>4.42</v>
      </c>
      <c r="D24" s="6">
        <v>3.9</v>
      </c>
    </row>
    <row r="25" spans="1:4" x14ac:dyDescent="0.35">
      <c r="A25" s="6" t="s">
        <v>24</v>
      </c>
      <c r="B25" s="6">
        <v>4.4000000000000004</v>
      </c>
      <c r="C25" s="6">
        <v>4.28</v>
      </c>
      <c r="D25" s="6">
        <v>3.44</v>
      </c>
    </row>
    <row r="26" spans="1:4" x14ac:dyDescent="0.35">
      <c r="A26" s="6" t="s">
        <v>25</v>
      </c>
      <c r="B26" s="6">
        <v>5.46</v>
      </c>
      <c r="C26" s="6">
        <v>4.34</v>
      </c>
      <c r="D26" s="6">
        <v>4.29</v>
      </c>
    </row>
    <row r="27" spans="1:4" x14ac:dyDescent="0.35">
      <c r="A27" s="6" t="s">
        <v>26</v>
      </c>
      <c r="B27" s="6">
        <v>6.82</v>
      </c>
      <c r="C27" s="6">
        <v>6.45</v>
      </c>
      <c r="D27" s="6">
        <v>5.47</v>
      </c>
    </row>
    <row r="28" spans="1:4" x14ac:dyDescent="0.35">
      <c r="A28" s="6" t="s">
        <v>27</v>
      </c>
      <c r="B28" s="6">
        <v>6.18</v>
      </c>
      <c r="C28" s="6">
        <v>5.35</v>
      </c>
      <c r="D28" s="6">
        <v>5.31</v>
      </c>
    </row>
    <row r="29" spans="1:4" x14ac:dyDescent="0.35">
      <c r="A29" s="6" t="s">
        <v>28</v>
      </c>
      <c r="B29" s="6">
        <v>2.72</v>
      </c>
      <c r="C29" s="6">
        <v>2.5</v>
      </c>
      <c r="D29" s="6">
        <v>2.44</v>
      </c>
    </row>
    <row r="30" spans="1:4" x14ac:dyDescent="0.35">
      <c r="A30" s="6" t="s">
        <v>29</v>
      </c>
      <c r="B30" s="6">
        <v>1.74</v>
      </c>
      <c r="C30" s="6">
        <v>1.64</v>
      </c>
      <c r="D30" s="6">
        <v>1.33</v>
      </c>
    </row>
    <row r="31" spans="1:4" x14ac:dyDescent="0.35">
      <c r="A31" s="6" t="s">
        <v>30</v>
      </c>
      <c r="B31" s="6">
        <v>1.71</v>
      </c>
      <c r="C31" s="6">
        <v>1.69</v>
      </c>
      <c r="D31" s="6">
        <v>1.64</v>
      </c>
    </row>
    <row r="34" spans="1:4" x14ac:dyDescent="0.35">
      <c r="A34" s="7" t="s">
        <v>33</v>
      </c>
      <c r="B34" s="13" t="s">
        <v>1</v>
      </c>
      <c r="C34" s="14"/>
      <c r="D34" s="11"/>
    </row>
    <row r="35" spans="1:4" x14ac:dyDescent="0.35">
      <c r="A35" s="5"/>
      <c r="B35" s="2">
        <v>2023</v>
      </c>
      <c r="C35" s="3">
        <v>2024</v>
      </c>
      <c r="D35" s="3">
        <v>2025</v>
      </c>
    </row>
    <row r="36" spans="1:4" x14ac:dyDescent="0.35">
      <c r="A36" s="8" t="s">
        <v>7</v>
      </c>
      <c r="B36" s="8">
        <v>4.0599999999999996</v>
      </c>
      <c r="C36" s="8">
        <v>3.91</v>
      </c>
      <c r="D36" s="8">
        <v>3.76</v>
      </c>
    </row>
    <row r="37" spans="1:4" x14ac:dyDescent="0.35">
      <c r="A37" s="6" t="s">
        <v>6</v>
      </c>
      <c r="B37" s="6">
        <v>5.24</v>
      </c>
      <c r="C37" s="6">
        <v>5.1100000000000003</v>
      </c>
      <c r="D37" s="6">
        <v>4.28</v>
      </c>
    </row>
    <row r="38" spans="1:4" x14ac:dyDescent="0.35">
      <c r="A38" s="6" t="s">
        <v>8</v>
      </c>
      <c r="B38" s="6">
        <v>6.8</v>
      </c>
      <c r="C38" s="6">
        <v>6.1</v>
      </c>
      <c r="D38" s="6">
        <v>5.69</v>
      </c>
    </row>
    <row r="39" spans="1:4" x14ac:dyDescent="0.35">
      <c r="A39" s="6" t="s">
        <v>14</v>
      </c>
      <c r="B39" s="6">
        <v>4.53</v>
      </c>
      <c r="C39" s="6">
        <v>4.4400000000000004</v>
      </c>
      <c r="D39" s="6">
        <v>4.93</v>
      </c>
    </row>
    <row r="40" spans="1:4" x14ac:dyDescent="0.35">
      <c r="A40" s="6" t="s">
        <v>15</v>
      </c>
      <c r="B40" s="6">
        <v>5.64</v>
      </c>
      <c r="C40" s="6">
        <v>4.63</v>
      </c>
      <c r="D40" s="6">
        <v>4.59</v>
      </c>
    </row>
    <row r="41" spans="1:4" x14ac:dyDescent="0.35">
      <c r="A41" s="6" t="s">
        <v>17</v>
      </c>
      <c r="B41" s="6">
        <v>4.7300000000000004</v>
      </c>
      <c r="C41" s="6">
        <v>3.76</v>
      </c>
      <c r="D41" s="6">
        <v>4.66</v>
      </c>
    </row>
    <row r="42" spans="1:4" x14ac:dyDescent="0.35">
      <c r="A42" s="6" t="s">
        <v>20</v>
      </c>
      <c r="B42" s="6">
        <v>5.85</v>
      </c>
      <c r="C42" s="6">
        <v>4.3</v>
      </c>
      <c r="D42" s="6">
        <v>4.29</v>
      </c>
    </row>
    <row r="43" spans="1:4" x14ac:dyDescent="0.35">
      <c r="A43" s="6" t="s">
        <v>31</v>
      </c>
      <c r="B43" s="6">
        <v>6.76</v>
      </c>
      <c r="C43" s="6">
        <v>4.91</v>
      </c>
      <c r="D43" s="6">
        <v>4.84</v>
      </c>
    </row>
    <row r="44" spans="1:4" x14ac:dyDescent="0.35">
      <c r="A44" s="6" t="s">
        <v>32</v>
      </c>
      <c r="B44" s="6">
        <v>4.5199999999999996</v>
      </c>
      <c r="C44" s="6">
        <v>3.63</v>
      </c>
      <c r="D44" s="6">
        <v>3.53</v>
      </c>
    </row>
  </sheetData>
  <mergeCells count="2">
    <mergeCell ref="B1:D1"/>
    <mergeCell ref="B34:D3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A445-D52E-47BD-8E83-C23E901CB31B}">
  <dimension ref="A1:J145"/>
  <sheetViews>
    <sheetView tabSelected="1" topLeftCell="A9" zoomScaleNormal="100" workbookViewId="0">
      <selection activeCell="J19" sqref="J19"/>
    </sheetView>
  </sheetViews>
  <sheetFormatPr defaultRowHeight="15.5" x14ac:dyDescent="0.35"/>
  <cols>
    <col min="1" max="16384" width="8.7265625" style="4"/>
  </cols>
  <sheetData>
    <row r="1" spans="1:10" x14ac:dyDescent="0.35">
      <c r="A1" s="15" t="s">
        <v>34</v>
      </c>
      <c r="B1" s="15"/>
      <c r="C1" s="10" t="s">
        <v>37</v>
      </c>
      <c r="G1" s="15" t="s">
        <v>67</v>
      </c>
      <c r="H1" s="15"/>
      <c r="I1" s="10" t="s">
        <v>37</v>
      </c>
    </row>
    <row r="2" spans="1:10" x14ac:dyDescent="0.35">
      <c r="A2" s="3" t="s">
        <v>35</v>
      </c>
      <c r="B2" s="3" t="s">
        <v>38</v>
      </c>
      <c r="C2" s="3" t="s">
        <v>1</v>
      </c>
      <c r="D2" s="3" t="s">
        <v>36</v>
      </c>
      <c r="G2" s="3" t="s">
        <v>35</v>
      </c>
      <c r="H2" s="3" t="s">
        <v>38</v>
      </c>
      <c r="I2" s="3" t="s">
        <v>1</v>
      </c>
      <c r="J2" s="3" t="s">
        <v>36</v>
      </c>
    </row>
    <row r="3" spans="1:10" x14ac:dyDescent="0.35">
      <c r="A3" s="9">
        <v>1</v>
      </c>
      <c r="B3" s="6">
        <v>2023</v>
      </c>
      <c r="C3" s="6">
        <v>1.83</v>
      </c>
      <c r="D3" s="6">
        <f>(0.5*C3)+((1-0.5)*C3)</f>
        <v>1.83</v>
      </c>
      <c r="G3" s="9">
        <v>1</v>
      </c>
      <c r="H3" s="6">
        <v>2023</v>
      </c>
      <c r="I3" s="8">
        <v>4.0599999999999996</v>
      </c>
      <c r="J3" s="6">
        <f>(0.5*I3)+((1-0.5)*I3)</f>
        <v>4.0599999999999996</v>
      </c>
    </row>
    <row r="4" spans="1:10" x14ac:dyDescent="0.35">
      <c r="A4" s="9">
        <v>2</v>
      </c>
      <c r="B4" s="6">
        <v>2024</v>
      </c>
      <c r="C4" s="6">
        <v>1.56</v>
      </c>
      <c r="D4" s="6">
        <f>(0.5*C4)+((1-0.5)*D3)</f>
        <v>1.6950000000000001</v>
      </c>
      <c r="G4" s="9">
        <v>2</v>
      </c>
      <c r="H4" s="6">
        <v>2024</v>
      </c>
      <c r="I4" s="8">
        <v>3.91</v>
      </c>
      <c r="J4" s="6">
        <f>(0.5*I4)+((1-0.5)*J3)</f>
        <v>3.9849999999999999</v>
      </c>
    </row>
    <row r="5" spans="1:10" x14ac:dyDescent="0.35">
      <c r="A5" s="9">
        <v>3</v>
      </c>
      <c r="B5" s="6">
        <v>2025</v>
      </c>
      <c r="C5" s="6">
        <v>1.4</v>
      </c>
      <c r="D5" s="6">
        <f>(0.5*C5)+((1-0.5)*D4)</f>
        <v>1.5474999999999999</v>
      </c>
      <c r="G5" s="9">
        <v>3</v>
      </c>
      <c r="H5" s="6">
        <v>2025</v>
      </c>
      <c r="I5" s="8">
        <v>3.76</v>
      </c>
      <c r="J5" s="6">
        <f>(0.5*I5)+((1-0.5)*J4)</f>
        <v>3.8724999999999996</v>
      </c>
    </row>
    <row r="6" spans="1:10" x14ac:dyDescent="0.35">
      <c r="A6" s="15" t="s">
        <v>39</v>
      </c>
      <c r="B6" s="15"/>
      <c r="C6" s="10" t="s">
        <v>37</v>
      </c>
      <c r="G6" s="15" t="s">
        <v>68</v>
      </c>
      <c r="H6" s="15"/>
      <c r="I6" s="10" t="s">
        <v>37</v>
      </c>
    </row>
    <row r="7" spans="1:10" x14ac:dyDescent="0.35">
      <c r="A7" s="3" t="s">
        <v>35</v>
      </c>
      <c r="B7" s="3" t="s">
        <v>38</v>
      </c>
      <c r="C7" s="3" t="s">
        <v>1</v>
      </c>
      <c r="D7" s="3" t="s">
        <v>36</v>
      </c>
      <c r="G7" s="3" t="s">
        <v>35</v>
      </c>
      <c r="H7" s="3" t="s">
        <v>38</v>
      </c>
      <c r="I7" s="3" t="s">
        <v>1</v>
      </c>
      <c r="J7" s="3" t="s">
        <v>36</v>
      </c>
    </row>
    <row r="8" spans="1:10" x14ac:dyDescent="0.35">
      <c r="A8" s="9">
        <v>1</v>
      </c>
      <c r="B8" s="6">
        <v>2023</v>
      </c>
      <c r="C8" s="6">
        <v>4.66</v>
      </c>
      <c r="D8" s="6">
        <f>(0.5*C8)+((1-0.5)*C8)</f>
        <v>4.66</v>
      </c>
      <c r="G8" s="9">
        <v>1</v>
      </c>
      <c r="H8" s="6">
        <v>2023</v>
      </c>
      <c r="I8" s="6">
        <v>5.24</v>
      </c>
      <c r="J8" s="6">
        <f>(0.5*I8)+((1-0.5)*I8)</f>
        <v>5.24</v>
      </c>
    </row>
    <row r="9" spans="1:10" x14ac:dyDescent="0.35">
      <c r="A9" s="9">
        <v>2</v>
      </c>
      <c r="B9" s="6">
        <v>2024</v>
      </c>
      <c r="C9" s="6">
        <v>4.1900000000000004</v>
      </c>
      <c r="D9" s="6">
        <f>(0.5*C9)+((1-0.5)*D8)</f>
        <v>4.4250000000000007</v>
      </c>
      <c r="G9" s="9">
        <v>2</v>
      </c>
      <c r="H9" s="6">
        <v>2024</v>
      </c>
      <c r="I9" s="6">
        <v>5.1100000000000003</v>
      </c>
      <c r="J9" s="6">
        <f>(0.5*I9)+((1-0.5)*J8)</f>
        <v>5.1750000000000007</v>
      </c>
    </row>
    <row r="10" spans="1:10" x14ac:dyDescent="0.35">
      <c r="A10" s="9">
        <v>3</v>
      </c>
      <c r="B10" s="6">
        <v>2025</v>
      </c>
      <c r="C10" s="6">
        <v>3.85</v>
      </c>
      <c r="D10" s="6">
        <f>(0.5*C10)+((1-0.5)*D9)</f>
        <v>4.1375000000000002</v>
      </c>
      <c r="G10" s="9">
        <v>3</v>
      </c>
      <c r="H10" s="6">
        <v>2025</v>
      </c>
      <c r="I10" s="6">
        <v>4.28</v>
      </c>
      <c r="J10" s="6">
        <f>(0.5*I10)+((1-0.5)*J9)</f>
        <v>4.7275000000000009</v>
      </c>
    </row>
    <row r="11" spans="1:10" x14ac:dyDescent="0.35">
      <c r="A11" s="15" t="s">
        <v>40</v>
      </c>
      <c r="B11" s="15"/>
      <c r="C11" s="10" t="s">
        <v>37</v>
      </c>
      <c r="G11" s="15" t="s">
        <v>69</v>
      </c>
      <c r="H11" s="15"/>
      <c r="I11" s="10" t="s">
        <v>37</v>
      </c>
    </row>
    <row r="12" spans="1:10" x14ac:dyDescent="0.35">
      <c r="A12" s="3" t="s">
        <v>35</v>
      </c>
      <c r="B12" s="3" t="s">
        <v>38</v>
      </c>
      <c r="C12" s="3" t="s">
        <v>1</v>
      </c>
      <c r="D12" s="3" t="s">
        <v>36</v>
      </c>
      <c r="G12" s="3" t="s">
        <v>35</v>
      </c>
      <c r="H12" s="3" t="s">
        <v>38</v>
      </c>
      <c r="I12" s="3" t="s">
        <v>1</v>
      </c>
      <c r="J12" s="3" t="s">
        <v>36</v>
      </c>
    </row>
    <row r="13" spans="1:10" x14ac:dyDescent="0.35">
      <c r="A13" s="9">
        <v>1</v>
      </c>
      <c r="B13" s="6">
        <v>2023</v>
      </c>
      <c r="C13" s="6">
        <v>4.5199999999999996</v>
      </c>
      <c r="D13" s="6">
        <f>(0.5*C13)+((1-0.5)*C13)</f>
        <v>4.5199999999999996</v>
      </c>
      <c r="G13" s="9">
        <v>1</v>
      </c>
      <c r="H13" s="6">
        <v>2023</v>
      </c>
      <c r="I13" s="6">
        <v>6.8</v>
      </c>
      <c r="J13" s="6">
        <f>(0.5*I13)+((1-0.5)*I13)</f>
        <v>6.8</v>
      </c>
    </row>
    <row r="14" spans="1:10" x14ac:dyDescent="0.35">
      <c r="A14" s="9">
        <v>2</v>
      </c>
      <c r="B14" s="6">
        <v>2024</v>
      </c>
      <c r="C14" s="6">
        <v>3.9</v>
      </c>
      <c r="D14" s="6">
        <f>(0.5*C14)+((1-0.5)*D13)</f>
        <v>4.21</v>
      </c>
      <c r="G14" s="9">
        <v>2</v>
      </c>
      <c r="H14" s="6">
        <v>2024</v>
      </c>
      <c r="I14" s="6">
        <v>6.1</v>
      </c>
      <c r="J14" s="6">
        <f>(0.5*I14)+((1-0.5)*J13)</f>
        <v>6.4499999999999993</v>
      </c>
    </row>
    <row r="15" spans="1:10" x14ac:dyDescent="0.35">
      <c r="A15" s="9">
        <v>3</v>
      </c>
      <c r="B15" s="6">
        <v>2025</v>
      </c>
      <c r="C15" s="6">
        <v>3.86</v>
      </c>
      <c r="D15" s="6">
        <f>(0.5*C15)+((1-0.5)*D14)</f>
        <v>4.0350000000000001</v>
      </c>
      <c r="G15" s="9">
        <v>3</v>
      </c>
      <c r="H15" s="6">
        <v>2025</v>
      </c>
      <c r="I15" s="6">
        <v>5.69</v>
      </c>
      <c r="J15" s="6">
        <f>(0.5*I15)+((1-0.5)*J14)</f>
        <v>6.07</v>
      </c>
    </row>
    <row r="16" spans="1:10" x14ac:dyDescent="0.35">
      <c r="A16" s="15" t="s">
        <v>41</v>
      </c>
      <c r="B16" s="15"/>
      <c r="C16" s="10" t="s">
        <v>37</v>
      </c>
      <c r="G16" s="15" t="s">
        <v>70</v>
      </c>
      <c r="H16" s="15"/>
      <c r="I16" s="10" t="s">
        <v>37</v>
      </c>
    </row>
    <row r="17" spans="1:10" x14ac:dyDescent="0.35">
      <c r="A17" s="3" t="s">
        <v>35</v>
      </c>
      <c r="B17" s="3" t="s">
        <v>38</v>
      </c>
      <c r="C17" s="3" t="s">
        <v>1</v>
      </c>
      <c r="D17" s="3" t="s">
        <v>36</v>
      </c>
      <c r="G17" s="3" t="s">
        <v>35</v>
      </c>
      <c r="H17" s="3" t="s">
        <v>38</v>
      </c>
      <c r="I17" s="3" t="s">
        <v>1</v>
      </c>
      <c r="J17" s="3" t="s">
        <v>36</v>
      </c>
    </row>
    <row r="18" spans="1:10" x14ac:dyDescent="0.35">
      <c r="A18" s="9">
        <v>1</v>
      </c>
      <c r="B18" s="6">
        <v>2023</v>
      </c>
      <c r="C18" s="6">
        <v>5.65</v>
      </c>
      <c r="D18" s="6">
        <f>(0.5*C18)+((1-0.5)*C18)</f>
        <v>5.65</v>
      </c>
      <c r="G18" s="9">
        <v>1</v>
      </c>
      <c r="H18" s="6">
        <v>2023</v>
      </c>
      <c r="I18" s="6">
        <v>4.53</v>
      </c>
      <c r="J18" s="6">
        <f>(0.5*Sheet2!I18)+((1-0.5)*I18)</f>
        <v>4.53</v>
      </c>
    </row>
    <row r="19" spans="1:10" x14ac:dyDescent="0.35">
      <c r="A19" s="9">
        <v>2</v>
      </c>
      <c r="B19" s="6">
        <v>2024</v>
      </c>
      <c r="C19" s="6">
        <v>4.12</v>
      </c>
      <c r="D19" s="6">
        <f>(0.5*C19)+((1-0.5)*D18)</f>
        <v>4.8849999999999998</v>
      </c>
      <c r="G19" s="9">
        <v>2</v>
      </c>
      <c r="H19" s="6">
        <v>2024</v>
      </c>
      <c r="I19" s="6">
        <v>4.4400000000000004</v>
      </c>
      <c r="J19" s="6">
        <f>(0.5*I19)+((1-0.5)*J18)</f>
        <v>4.4850000000000003</v>
      </c>
    </row>
    <row r="20" spans="1:10" x14ac:dyDescent="0.35">
      <c r="A20" s="9">
        <v>3</v>
      </c>
      <c r="B20" s="6">
        <v>2025</v>
      </c>
      <c r="C20" s="6">
        <v>4.03</v>
      </c>
      <c r="D20" s="6">
        <f>(0.5*C20)+((1-0.5)*D19)</f>
        <v>4.4574999999999996</v>
      </c>
      <c r="G20" s="9">
        <v>3</v>
      </c>
      <c r="H20" s="6">
        <v>2025</v>
      </c>
      <c r="I20" s="6">
        <v>4.93</v>
      </c>
      <c r="J20" s="6">
        <f>(0.5*I20)+((1-0.5)*J19)</f>
        <v>4.7074999999999996</v>
      </c>
    </row>
    <row r="21" spans="1:10" x14ac:dyDescent="0.35">
      <c r="A21" s="15" t="s">
        <v>42</v>
      </c>
      <c r="B21" s="15"/>
      <c r="C21" s="10" t="s">
        <v>37</v>
      </c>
      <c r="G21" s="15" t="s">
        <v>71</v>
      </c>
      <c r="H21" s="15"/>
      <c r="I21" s="10" t="s">
        <v>37</v>
      </c>
    </row>
    <row r="22" spans="1:10" x14ac:dyDescent="0.35">
      <c r="A22" s="3" t="s">
        <v>35</v>
      </c>
      <c r="B22" s="3" t="s">
        <v>38</v>
      </c>
      <c r="C22" s="3" t="s">
        <v>1</v>
      </c>
      <c r="D22" s="3" t="s">
        <v>36</v>
      </c>
      <c r="G22" s="3" t="s">
        <v>35</v>
      </c>
      <c r="H22" s="3" t="s">
        <v>38</v>
      </c>
      <c r="I22" s="3" t="s">
        <v>1</v>
      </c>
      <c r="J22" s="3" t="s">
        <v>36</v>
      </c>
    </row>
    <row r="23" spans="1:10" x14ac:dyDescent="0.35">
      <c r="A23" s="9">
        <v>1</v>
      </c>
      <c r="B23" s="6">
        <v>2023</v>
      </c>
      <c r="C23" s="6">
        <v>4.91</v>
      </c>
      <c r="D23" s="6">
        <f>(0.5*C23)+((1-0.5)*C23)</f>
        <v>4.91</v>
      </c>
      <c r="G23" s="9">
        <v>1</v>
      </c>
      <c r="H23" s="6">
        <v>2023</v>
      </c>
      <c r="I23" s="6">
        <v>5.64</v>
      </c>
      <c r="J23" s="6">
        <f>(0.5*I23)+((1-0.5)*I23)</f>
        <v>5.64</v>
      </c>
    </row>
    <row r="24" spans="1:10" x14ac:dyDescent="0.35">
      <c r="A24" s="9">
        <v>2</v>
      </c>
      <c r="B24" s="6">
        <v>2024</v>
      </c>
      <c r="C24" s="6">
        <v>4.7699999999999996</v>
      </c>
      <c r="D24" s="6">
        <f>(0.5*C24)+((1-0.5)*D23)</f>
        <v>4.84</v>
      </c>
      <c r="G24" s="9">
        <v>2</v>
      </c>
      <c r="H24" s="6">
        <v>2024</v>
      </c>
      <c r="I24" s="6">
        <v>4.63</v>
      </c>
      <c r="J24" s="6">
        <f>(0.5*I24)+((1-0.5)*J23)</f>
        <v>5.1349999999999998</v>
      </c>
    </row>
    <row r="25" spans="1:10" x14ac:dyDescent="0.35">
      <c r="A25" s="9">
        <v>3</v>
      </c>
      <c r="B25" s="6">
        <v>2025</v>
      </c>
      <c r="C25" s="6">
        <v>4.49</v>
      </c>
      <c r="D25" s="6">
        <f>(0.5*C25)+((1-0.5)*D24)</f>
        <v>4.665</v>
      </c>
      <c r="G25" s="9">
        <v>3</v>
      </c>
      <c r="H25" s="6">
        <v>2025</v>
      </c>
      <c r="I25" s="6">
        <v>4.59</v>
      </c>
      <c r="J25" s="6">
        <f>(0.5*I25)+((1-0.5)*J24)</f>
        <v>4.8624999999999998</v>
      </c>
    </row>
    <row r="26" spans="1:10" x14ac:dyDescent="0.35">
      <c r="A26" s="15" t="s">
        <v>43</v>
      </c>
      <c r="B26" s="15"/>
      <c r="C26" s="10" t="s">
        <v>37</v>
      </c>
      <c r="G26" s="15" t="s">
        <v>72</v>
      </c>
      <c r="H26" s="15"/>
      <c r="I26" s="10" t="s">
        <v>37</v>
      </c>
    </row>
    <row r="27" spans="1:10" x14ac:dyDescent="0.35">
      <c r="A27" s="3" t="s">
        <v>35</v>
      </c>
      <c r="B27" s="3" t="s">
        <v>38</v>
      </c>
      <c r="C27" s="3" t="s">
        <v>1</v>
      </c>
      <c r="D27" s="3" t="s">
        <v>36</v>
      </c>
      <c r="G27" s="3" t="s">
        <v>35</v>
      </c>
      <c r="H27" s="3" t="s">
        <v>38</v>
      </c>
      <c r="I27" s="3" t="s">
        <v>1</v>
      </c>
      <c r="J27" s="3" t="s">
        <v>36</v>
      </c>
    </row>
    <row r="28" spans="1:10" x14ac:dyDescent="0.35">
      <c r="A28" s="9">
        <v>1</v>
      </c>
      <c r="B28" s="6">
        <v>2023</v>
      </c>
      <c r="C28" s="6">
        <v>5.79</v>
      </c>
      <c r="D28" s="6">
        <f>(0.5*C28)+((1-0.5)*C28)</f>
        <v>5.79</v>
      </c>
      <c r="G28" s="9">
        <v>1</v>
      </c>
      <c r="H28" s="6">
        <v>2023</v>
      </c>
      <c r="I28" s="6">
        <v>4.7300000000000004</v>
      </c>
      <c r="J28" s="6">
        <f>(0.5*I28)+((1-0.5)*I28)</f>
        <v>4.7300000000000004</v>
      </c>
    </row>
    <row r="29" spans="1:10" x14ac:dyDescent="0.35">
      <c r="A29" s="9">
        <v>2</v>
      </c>
      <c r="B29" s="6">
        <v>2024</v>
      </c>
      <c r="C29" s="6">
        <v>5.0999999999999996</v>
      </c>
      <c r="D29" s="6">
        <f>(0.5*C29)+((1-0.5)*D28)</f>
        <v>5.4450000000000003</v>
      </c>
      <c r="G29" s="9">
        <v>2</v>
      </c>
      <c r="H29" s="6">
        <v>2024</v>
      </c>
      <c r="I29" s="6">
        <v>3.76</v>
      </c>
      <c r="J29" s="6">
        <f>(0.5*I29)+((1-0.5)*J28)</f>
        <v>4.2450000000000001</v>
      </c>
    </row>
    <row r="30" spans="1:10" x14ac:dyDescent="0.35">
      <c r="A30" s="9">
        <v>3</v>
      </c>
      <c r="B30" s="6">
        <v>2025</v>
      </c>
      <c r="C30" s="6">
        <v>4.71</v>
      </c>
      <c r="D30" s="6">
        <f>(0.5*C30)+((1-0.5)*D29)</f>
        <v>5.0775000000000006</v>
      </c>
      <c r="G30" s="9">
        <v>3</v>
      </c>
      <c r="H30" s="6">
        <v>2025</v>
      </c>
      <c r="I30" s="6">
        <v>4.66</v>
      </c>
      <c r="J30" s="6">
        <f>(0.5*I30)+((1-0.5)*J29)</f>
        <v>4.4525000000000006</v>
      </c>
    </row>
    <row r="31" spans="1:10" x14ac:dyDescent="0.35">
      <c r="A31" s="15" t="s">
        <v>44</v>
      </c>
      <c r="B31" s="15"/>
      <c r="C31" s="10" t="s">
        <v>37</v>
      </c>
      <c r="G31" s="15" t="s">
        <v>73</v>
      </c>
      <c r="H31" s="15"/>
      <c r="I31" s="10" t="s">
        <v>37</v>
      </c>
    </row>
    <row r="32" spans="1:10" x14ac:dyDescent="0.35">
      <c r="A32" s="3" t="s">
        <v>35</v>
      </c>
      <c r="B32" s="3" t="s">
        <v>38</v>
      </c>
      <c r="C32" s="3" t="s">
        <v>1</v>
      </c>
      <c r="D32" s="3" t="s">
        <v>36</v>
      </c>
      <c r="G32" s="3" t="s">
        <v>35</v>
      </c>
      <c r="H32" s="3" t="s">
        <v>38</v>
      </c>
      <c r="I32" s="3" t="s">
        <v>1</v>
      </c>
      <c r="J32" s="3" t="s">
        <v>36</v>
      </c>
    </row>
    <row r="33" spans="1:10" x14ac:dyDescent="0.35">
      <c r="A33" s="9">
        <v>1</v>
      </c>
      <c r="B33" s="6">
        <v>2023</v>
      </c>
      <c r="C33" s="6">
        <v>5.7</v>
      </c>
      <c r="D33" s="6">
        <f>(0.5*C33)+((1-0.5)*C33)</f>
        <v>5.7</v>
      </c>
      <c r="G33" s="9">
        <v>1</v>
      </c>
      <c r="H33" s="6">
        <v>2023</v>
      </c>
      <c r="I33" s="6">
        <v>5.85</v>
      </c>
      <c r="J33" s="6">
        <f>(0.5*I33)+((1-0.5)*I33)</f>
        <v>5.85</v>
      </c>
    </row>
    <row r="34" spans="1:10" x14ac:dyDescent="0.35">
      <c r="A34" s="9">
        <v>2</v>
      </c>
      <c r="B34" s="6">
        <v>2024</v>
      </c>
      <c r="C34" s="6">
        <v>5.13</v>
      </c>
      <c r="D34" s="6">
        <f>(0.5*C34)+((1-0.5)*D33)</f>
        <v>5.415</v>
      </c>
      <c r="G34" s="9">
        <v>2</v>
      </c>
      <c r="H34" s="6">
        <v>2024</v>
      </c>
      <c r="I34" s="6">
        <v>4.3</v>
      </c>
      <c r="J34" s="6">
        <f>(0.5*I34)+((1-0.5)*J33)</f>
        <v>5.0749999999999993</v>
      </c>
    </row>
    <row r="35" spans="1:10" x14ac:dyDescent="0.35">
      <c r="A35" s="9">
        <v>3</v>
      </c>
      <c r="B35" s="6">
        <v>2025</v>
      </c>
      <c r="C35" s="6">
        <v>5</v>
      </c>
      <c r="D35" s="6">
        <f>(0.5*C35)+((1-0.5)*D34)</f>
        <v>5.2074999999999996</v>
      </c>
      <c r="G35" s="9">
        <v>3</v>
      </c>
      <c r="H35" s="6">
        <v>2025</v>
      </c>
      <c r="I35" s="6">
        <v>4.29</v>
      </c>
      <c r="J35" s="6">
        <f>(0.5*I35)+((1-0.5)*J34)</f>
        <v>4.6824999999999992</v>
      </c>
    </row>
    <row r="36" spans="1:10" x14ac:dyDescent="0.35">
      <c r="A36" s="15" t="s">
        <v>45</v>
      </c>
      <c r="B36" s="15"/>
      <c r="C36" s="10" t="s">
        <v>37</v>
      </c>
      <c r="G36" s="15" t="s">
        <v>74</v>
      </c>
      <c r="H36" s="15"/>
      <c r="I36" s="10" t="s">
        <v>37</v>
      </c>
    </row>
    <row r="37" spans="1:10" x14ac:dyDescent="0.35">
      <c r="A37" s="3" t="s">
        <v>35</v>
      </c>
      <c r="B37" s="3" t="s">
        <v>38</v>
      </c>
      <c r="C37" s="3" t="s">
        <v>1</v>
      </c>
      <c r="D37" s="3" t="s">
        <v>36</v>
      </c>
      <c r="G37" s="3" t="s">
        <v>35</v>
      </c>
      <c r="H37" s="3" t="s">
        <v>38</v>
      </c>
      <c r="I37" s="3" t="s">
        <v>1</v>
      </c>
      <c r="J37" s="3" t="s">
        <v>36</v>
      </c>
    </row>
    <row r="38" spans="1:10" x14ac:dyDescent="0.35">
      <c r="A38" s="9">
        <v>1</v>
      </c>
      <c r="B38" s="6">
        <v>2023</v>
      </c>
      <c r="C38" s="6">
        <v>3.67</v>
      </c>
      <c r="D38" s="6">
        <f>(0.5*C38)+((1-0.5)*C38)</f>
        <v>3.67</v>
      </c>
      <c r="G38" s="9">
        <v>1</v>
      </c>
      <c r="H38" s="6">
        <v>2023</v>
      </c>
      <c r="I38" s="6">
        <v>6.76</v>
      </c>
      <c r="J38" s="6">
        <f>(0.5*I38)+((1-0.5)*I38)</f>
        <v>6.76</v>
      </c>
    </row>
    <row r="39" spans="1:10" x14ac:dyDescent="0.35">
      <c r="A39" s="9">
        <v>2</v>
      </c>
      <c r="B39" s="6">
        <v>2024</v>
      </c>
      <c r="C39" s="6">
        <v>3.28</v>
      </c>
      <c r="D39" s="6">
        <f>(0.5*C39)+((1-0.5)*D38)</f>
        <v>3.4749999999999996</v>
      </c>
      <c r="G39" s="9">
        <v>2</v>
      </c>
      <c r="H39" s="6">
        <v>2024</v>
      </c>
      <c r="I39" s="6">
        <v>4.91</v>
      </c>
      <c r="J39" s="6">
        <f>(0.5*I39)+((1-0.5)*J38)</f>
        <v>5.835</v>
      </c>
    </row>
    <row r="40" spans="1:10" x14ac:dyDescent="0.35">
      <c r="A40" s="9">
        <v>3</v>
      </c>
      <c r="B40" s="6">
        <v>2025</v>
      </c>
      <c r="C40" s="6">
        <v>3.08</v>
      </c>
      <c r="D40" s="6">
        <f>(0.5*C40)+((1-0.5)*D39)</f>
        <v>3.2774999999999999</v>
      </c>
      <c r="G40" s="9">
        <v>3</v>
      </c>
      <c r="H40" s="6">
        <v>2025</v>
      </c>
      <c r="I40" s="6">
        <v>4.84</v>
      </c>
      <c r="J40" s="6">
        <f>(0.5*I40)+((1-0.5)*J39)</f>
        <v>5.3375000000000004</v>
      </c>
    </row>
    <row r="41" spans="1:10" x14ac:dyDescent="0.35">
      <c r="A41" s="15" t="s">
        <v>46</v>
      </c>
      <c r="B41" s="15"/>
      <c r="C41" s="10" t="s">
        <v>37</v>
      </c>
      <c r="G41" s="15" t="s">
        <v>75</v>
      </c>
      <c r="H41" s="15"/>
      <c r="I41" s="10" t="s">
        <v>37</v>
      </c>
    </row>
    <row r="42" spans="1:10" x14ac:dyDescent="0.35">
      <c r="A42" s="3" t="s">
        <v>35</v>
      </c>
      <c r="B42" s="3" t="s">
        <v>38</v>
      </c>
      <c r="C42" s="3" t="s">
        <v>1</v>
      </c>
      <c r="D42" s="3" t="s">
        <v>36</v>
      </c>
      <c r="G42" s="3" t="s">
        <v>35</v>
      </c>
      <c r="H42" s="3" t="s">
        <v>38</v>
      </c>
      <c r="I42" s="3" t="s">
        <v>1</v>
      </c>
      <c r="J42" s="3" t="s">
        <v>36</v>
      </c>
    </row>
    <row r="43" spans="1:10" x14ac:dyDescent="0.35">
      <c r="A43" s="9">
        <v>1</v>
      </c>
      <c r="B43" s="6">
        <v>2023</v>
      </c>
      <c r="C43" s="6">
        <v>4.01</v>
      </c>
      <c r="D43" s="6">
        <f>(0.5*C43)+((1-0.5)*C43)</f>
        <v>4.01</v>
      </c>
      <c r="G43" s="9">
        <v>1</v>
      </c>
      <c r="H43" s="6">
        <v>2023</v>
      </c>
      <c r="I43" s="6">
        <v>4.5199999999999996</v>
      </c>
      <c r="J43" s="6">
        <f>(0.5*I43)+((1-0.5)*I43)</f>
        <v>4.5199999999999996</v>
      </c>
    </row>
    <row r="44" spans="1:10" x14ac:dyDescent="0.35">
      <c r="A44" s="9">
        <v>2</v>
      </c>
      <c r="B44" s="6">
        <v>2024</v>
      </c>
      <c r="C44" s="6">
        <v>3.23</v>
      </c>
      <c r="D44" s="6">
        <f>(0.5*C44)+((1-0.5)*D43)</f>
        <v>3.62</v>
      </c>
      <c r="G44" s="9">
        <v>2</v>
      </c>
      <c r="H44" s="6">
        <v>2024</v>
      </c>
      <c r="I44" s="6">
        <v>3.63</v>
      </c>
      <c r="J44" s="6">
        <f>(0.5*I44)+((1-0.5)*J43)</f>
        <v>4.0749999999999993</v>
      </c>
    </row>
    <row r="45" spans="1:10" x14ac:dyDescent="0.35">
      <c r="A45" s="9">
        <v>3</v>
      </c>
      <c r="B45" s="6">
        <v>2025</v>
      </c>
      <c r="C45" s="6">
        <v>3.07</v>
      </c>
      <c r="D45" s="6">
        <f>(0.5*C45)+((1-0.5)*D44)</f>
        <v>3.3449999999999998</v>
      </c>
      <c r="G45" s="9">
        <v>3</v>
      </c>
      <c r="H45" s="6">
        <v>2025</v>
      </c>
      <c r="I45" s="6">
        <v>3.53</v>
      </c>
      <c r="J45" s="6">
        <f>(0.5*I45)+((1-0.5)*J44)</f>
        <v>3.8024999999999993</v>
      </c>
    </row>
    <row r="46" spans="1:10" x14ac:dyDescent="0.35">
      <c r="A46" s="15" t="s">
        <v>47</v>
      </c>
      <c r="B46" s="15"/>
      <c r="C46" s="10" t="s">
        <v>37</v>
      </c>
    </row>
    <row r="47" spans="1:10" x14ac:dyDescent="0.35">
      <c r="A47" s="3" t="s">
        <v>35</v>
      </c>
      <c r="B47" s="3" t="s">
        <v>38</v>
      </c>
      <c r="C47" s="3" t="s">
        <v>1</v>
      </c>
      <c r="D47" s="3" t="s">
        <v>36</v>
      </c>
    </row>
    <row r="48" spans="1:10" x14ac:dyDescent="0.35">
      <c r="A48" s="9">
        <v>1</v>
      </c>
      <c r="B48" s="6">
        <v>2023</v>
      </c>
      <c r="C48" s="6">
        <v>4.75</v>
      </c>
      <c r="D48" s="6">
        <f>(0.5*C48)+((1-0.5)*C48)</f>
        <v>4.75</v>
      </c>
    </row>
    <row r="49" spans="1:4" x14ac:dyDescent="0.35">
      <c r="A49" s="9">
        <v>2</v>
      </c>
      <c r="B49" s="6">
        <v>2024</v>
      </c>
      <c r="C49" s="6">
        <v>4.03</v>
      </c>
      <c r="D49" s="6">
        <f>(0.5*C49)+((1-0.5)*D48)</f>
        <v>4.3900000000000006</v>
      </c>
    </row>
    <row r="50" spans="1:4" x14ac:dyDescent="0.35">
      <c r="A50" s="9">
        <v>3</v>
      </c>
      <c r="B50" s="6">
        <v>2025</v>
      </c>
      <c r="C50" s="6">
        <v>3.94</v>
      </c>
      <c r="D50" s="6">
        <f>(0.5*C50)+((1-0.5)*D49)</f>
        <v>4.165</v>
      </c>
    </row>
    <row r="51" spans="1:4" x14ac:dyDescent="0.35">
      <c r="A51" s="15" t="s">
        <v>48</v>
      </c>
      <c r="B51" s="15"/>
      <c r="C51" s="10" t="s">
        <v>37</v>
      </c>
    </row>
    <row r="52" spans="1:4" x14ac:dyDescent="0.35">
      <c r="A52" s="3" t="s">
        <v>35</v>
      </c>
      <c r="B52" s="3" t="s">
        <v>38</v>
      </c>
      <c r="C52" s="3" t="s">
        <v>1</v>
      </c>
      <c r="D52" s="3" t="s">
        <v>36</v>
      </c>
    </row>
    <row r="53" spans="1:4" x14ac:dyDescent="0.35">
      <c r="A53" s="9">
        <v>1</v>
      </c>
      <c r="B53" s="6">
        <v>2023</v>
      </c>
      <c r="C53" s="6">
        <v>4.1500000000000004</v>
      </c>
      <c r="D53" s="6">
        <f>(0.5*C53)+((1-0.5)*C53)</f>
        <v>4.1500000000000004</v>
      </c>
    </row>
    <row r="54" spans="1:4" x14ac:dyDescent="0.35">
      <c r="A54" s="9">
        <v>2</v>
      </c>
      <c r="B54" s="6">
        <v>2024</v>
      </c>
      <c r="C54" s="6">
        <v>3.63</v>
      </c>
      <c r="D54" s="6">
        <f>(0.5*C54)+((1-0.5)*D53)</f>
        <v>3.89</v>
      </c>
    </row>
    <row r="55" spans="1:4" x14ac:dyDescent="0.35">
      <c r="A55" s="9">
        <v>3</v>
      </c>
      <c r="B55" s="6">
        <v>2025</v>
      </c>
      <c r="C55" s="6">
        <v>2.5499999999999998</v>
      </c>
      <c r="D55" s="6">
        <f>(0.5*C55)+((1-0.5)*D54)</f>
        <v>3.2199999999999998</v>
      </c>
    </row>
    <row r="56" spans="1:4" x14ac:dyDescent="0.35">
      <c r="A56" s="15" t="s">
        <v>49</v>
      </c>
      <c r="B56" s="15"/>
      <c r="C56" s="10" t="s">
        <v>37</v>
      </c>
    </row>
    <row r="57" spans="1:4" x14ac:dyDescent="0.35">
      <c r="A57" s="3" t="s">
        <v>35</v>
      </c>
      <c r="B57" s="3" t="s">
        <v>38</v>
      </c>
      <c r="C57" s="3" t="s">
        <v>1</v>
      </c>
      <c r="D57" s="3" t="s">
        <v>36</v>
      </c>
    </row>
    <row r="58" spans="1:4" x14ac:dyDescent="0.35">
      <c r="A58" s="9">
        <v>1</v>
      </c>
      <c r="B58" s="6">
        <v>2023</v>
      </c>
      <c r="C58" s="6">
        <v>3.27</v>
      </c>
      <c r="D58" s="6">
        <f>(0.5*C58)+((1-0.5)*C58)</f>
        <v>3.27</v>
      </c>
    </row>
    <row r="59" spans="1:4" x14ac:dyDescent="0.35">
      <c r="A59" s="9">
        <v>2</v>
      </c>
      <c r="B59" s="6">
        <v>2024</v>
      </c>
      <c r="C59" s="6">
        <v>3.15</v>
      </c>
      <c r="D59" s="6">
        <f>(0.5*C59)+((1-0.5)*D58)</f>
        <v>3.21</v>
      </c>
    </row>
    <row r="60" spans="1:4" x14ac:dyDescent="0.35">
      <c r="A60" s="9">
        <v>3</v>
      </c>
      <c r="B60" s="6">
        <v>2025</v>
      </c>
      <c r="C60" s="6">
        <v>3.02</v>
      </c>
      <c r="D60" s="6">
        <f>(0.5*C60)+((1-0.5)*D59)</f>
        <v>3.1150000000000002</v>
      </c>
    </row>
    <row r="61" spans="1:4" x14ac:dyDescent="0.35">
      <c r="A61" s="15" t="s">
        <v>50</v>
      </c>
      <c r="B61" s="15"/>
      <c r="C61" s="10" t="s">
        <v>37</v>
      </c>
    </row>
    <row r="62" spans="1:4" x14ac:dyDescent="0.35">
      <c r="A62" s="3" t="s">
        <v>35</v>
      </c>
      <c r="B62" s="3" t="s">
        <v>38</v>
      </c>
      <c r="C62" s="3" t="s">
        <v>1</v>
      </c>
      <c r="D62" s="3" t="s">
        <v>36</v>
      </c>
    </row>
    <row r="63" spans="1:4" x14ac:dyDescent="0.35">
      <c r="A63" s="9">
        <v>1</v>
      </c>
      <c r="B63" s="6">
        <v>2023</v>
      </c>
      <c r="C63" s="6">
        <v>3.24</v>
      </c>
      <c r="D63" s="6">
        <f>(0.5*C63)+((1-0.5)*C63)</f>
        <v>3.24</v>
      </c>
    </row>
    <row r="64" spans="1:4" x14ac:dyDescent="0.35">
      <c r="A64" s="9">
        <v>2</v>
      </c>
      <c r="B64" s="6">
        <v>2024</v>
      </c>
      <c r="C64" s="6">
        <v>3</v>
      </c>
      <c r="D64" s="6">
        <f>(0.5*C64)+((1-0.5)*D63)</f>
        <v>3.12</v>
      </c>
    </row>
    <row r="65" spans="1:4" x14ac:dyDescent="0.35">
      <c r="A65" s="9">
        <v>3</v>
      </c>
      <c r="B65" s="6">
        <v>2025</v>
      </c>
      <c r="C65" s="6">
        <v>2.92</v>
      </c>
      <c r="D65" s="6">
        <f>(0.5*C65)+((1-0.5)*D64)</f>
        <v>3.02</v>
      </c>
    </row>
    <row r="66" spans="1:4" x14ac:dyDescent="0.35">
      <c r="A66" s="15" t="s">
        <v>51</v>
      </c>
      <c r="B66" s="15"/>
      <c r="C66" s="10" t="s">
        <v>37</v>
      </c>
    </row>
    <row r="67" spans="1:4" x14ac:dyDescent="0.35">
      <c r="A67" s="3" t="s">
        <v>35</v>
      </c>
      <c r="B67" s="3" t="s">
        <v>38</v>
      </c>
      <c r="C67" s="3" t="s">
        <v>1</v>
      </c>
      <c r="D67" s="3" t="s">
        <v>36</v>
      </c>
    </row>
    <row r="68" spans="1:4" x14ac:dyDescent="0.35">
      <c r="A68" s="9">
        <v>1</v>
      </c>
      <c r="B68" s="6">
        <v>2023</v>
      </c>
      <c r="C68" s="6">
        <v>5.48</v>
      </c>
      <c r="D68" s="6">
        <f>(0.5*C68)+((1-0.5)*C68)</f>
        <v>5.48</v>
      </c>
    </row>
    <row r="69" spans="1:4" x14ac:dyDescent="0.35">
      <c r="A69" s="9">
        <v>2</v>
      </c>
      <c r="B69" s="6">
        <v>2024</v>
      </c>
      <c r="C69" s="6">
        <v>5.0199999999999996</v>
      </c>
      <c r="D69" s="6">
        <f>(0.5*C69)+((1-0.5)*D68)</f>
        <v>5.25</v>
      </c>
    </row>
    <row r="70" spans="1:4" x14ac:dyDescent="0.35">
      <c r="A70" s="9">
        <v>3</v>
      </c>
      <c r="B70" s="6">
        <v>2025</v>
      </c>
      <c r="C70" s="6">
        <v>4.22</v>
      </c>
      <c r="D70" s="6">
        <f>(0.5*C70)+((1-0.5)*D69)</f>
        <v>4.7349999999999994</v>
      </c>
    </row>
    <row r="71" spans="1:4" x14ac:dyDescent="0.35">
      <c r="A71" s="15" t="s">
        <v>52</v>
      </c>
      <c r="B71" s="15"/>
      <c r="C71" s="10" t="s">
        <v>37</v>
      </c>
    </row>
    <row r="72" spans="1:4" x14ac:dyDescent="0.35">
      <c r="A72" s="3" t="s">
        <v>35</v>
      </c>
      <c r="B72" s="3" t="s">
        <v>38</v>
      </c>
      <c r="C72" s="3" t="s">
        <v>1</v>
      </c>
      <c r="D72" s="3" t="s">
        <v>36</v>
      </c>
    </row>
    <row r="73" spans="1:4" x14ac:dyDescent="0.35">
      <c r="A73" s="9">
        <v>1</v>
      </c>
      <c r="B73" s="6">
        <v>2023</v>
      </c>
      <c r="C73" s="6">
        <v>8.0500000000000007</v>
      </c>
      <c r="D73" s="6">
        <f>(0.5*C73)+((1-0.5)*C73)</f>
        <v>8.0500000000000007</v>
      </c>
    </row>
    <row r="74" spans="1:4" x14ac:dyDescent="0.35">
      <c r="A74" s="9">
        <v>2</v>
      </c>
      <c r="B74" s="6">
        <v>2024</v>
      </c>
      <c r="C74" s="6">
        <v>6.49</v>
      </c>
      <c r="D74" s="6">
        <f>(0.5*C74)+((1-0.5)*D73)</f>
        <v>7.2700000000000005</v>
      </c>
    </row>
    <row r="75" spans="1:4" x14ac:dyDescent="0.35">
      <c r="A75" s="9">
        <v>3</v>
      </c>
      <c r="B75" s="6">
        <v>2025</v>
      </c>
      <c r="C75" s="6">
        <v>5.75</v>
      </c>
      <c r="D75" s="6">
        <f>(0.5*C75)+((1-0.5)*D74)</f>
        <v>6.51</v>
      </c>
    </row>
    <row r="76" spans="1:4" x14ac:dyDescent="0.35">
      <c r="A76" s="15" t="s">
        <v>53</v>
      </c>
      <c r="B76" s="15"/>
      <c r="C76" s="10" t="s">
        <v>37</v>
      </c>
    </row>
    <row r="77" spans="1:4" x14ac:dyDescent="0.35">
      <c r="A77" s="3" t="s">
        <v>35</v>
      </c>
      <c r="B77" s="3" t="s">
        <v>38</v>
      </c>
      <c r="C77" s="3" t="s">
        <v>1</v>
      </c>
      <c r="D77" s="3" t="s">
        <v>36</v>
      </c>
    </row>
    <row r="78" spans="1:4" x14ac:dyDescent="0.35">
      <c r="A78" s="9">
        <v>1</v>
      </c>
      <c r="B78" s="6">
        <v>2023</v>
      </c>
      <c r="C78" s="6">
        <v>4.67</v>
      </c>
      <c r="D78" s="6">
        <f>(0.5*C78)+((1-0.5)*C78)</f>
        <v>4.67</v>
      </c>
    </row>
    <row r="79" spans="1:4" x14ac:dyDescent="0.35">
      <c r="A79" s="9">
        <v>2</v>
      </c>
      <c r="B79" s="6">
        <v>2024</v>
      </c>
      <c r="C79" s="6">
        <v>3.87</v>
      </c>
      <c r="D79" s="6">
        <f>(0.5*C79)+((1-0.5)*D78)</f>
        <v>4.2699999999999996</v>
      </c>
    </row>
    <row r="80" spans="1:4" x14ac:dyDescent="0.35">
      <c r="A80" s="9">
        <v>3</v>
      </c>
      <c r="B80" s="6">
        <v>2025</v>
      </c>
      <c r="C80" s="6">
        <v>3.49</v>
      </c>
      <c r="D80" s="6">
        <f>(0.5*C80)+((1-0.5)*D79)</f>
        <v>3.88</v>
      </c>
    </row>
    <row r="81" spans="1:4" x14ac:dyDescent="0.35">
      <c r="A81" s="15" t="s">
        <v>54</v>
      </c>
      <c r="B81" s="15"/>
      <c r="C81" s="10" t="s">
        <v>37</v>
      </c>
    </row>
    <row r="82" spans="1:4" x14ac:dyDescent="0.35">
      <c r="A82" s="3" t="s">
        <v>35</v>
      </c>
      <c r="B82" s="3" t="s">
        <v>38</v>
      </c>
      <c r="C82" s="3" t="s">
        <v>1</v>
      </c>
      <c r="D82" s="3" t="s">
        <v>36</v>
      </c>
    </row>
    <row r="83" spans="1:4" x14ac:dyDescent="0.35">
      <c r="A83" s="9">
        <v>1</v>
      </c>
      <c r="B83" s="6">
        <v>2023</v>
      </c>
      <c r="C83" s="6">
        <v>4.66</v>
      </c>
      <c r="D83" s="6">
        <f>(0.5*C83)+((1-0.5)*C83)</f>
        <v>4.66</v>
      </c>
    </row>
    <row r="84" spans="1:4" x14ac:dyDescent="0.35">
      <c r="A84" s="9">
        <v>2</v>
      </c>
      <c r="B84" s="6">
        <v>2024</v>
      </c>
      <c r="C84" s="6">
        <v>3.75</v>
      </c>
      <c r="D84" s="6">
        <f>(0.5*C84)+((1-0.5)*D83)</f>
        <v>4.2050000000000001</v>
      </c>
    </row>
    <row r="85" spans="1:4" x14ac:dyDescent="0.35">
      <c r="A85" s="9">
        <v>3</v>
      </c>
      <c r="B85" s="6">
        <v>2025</v>
      </c>
      <c r="C85" s="6">
        <v>3.28</v>
      </c>
      <c r="D85" s="6">
        <f>(0.5*C85)+((1-0.5)*D84)</f>
        <v>3.7424999999999997</v>
      </c>
    </row>
    <row r="86" spans="1:4" x14ac:dyDescent="0.35">
      <c r="A86" s="15" t="s">
        <v>55</v>
      </c>
      <c r="B86" s="15"/>
      <c r="C86" s="10" t="s">
        <v>37</v>
      </c>
    </row>
    <row r="87" spans="1:4" x14ac:dyDescent="0.35">
      <c r="A87" s="3" t="s">
        <v>35</v>
      </c>
      <c r="B87" s="3" t="s">
        <v>38</v>
      </c>
      <c r="C87" s="3" t="s">
        <v>1</v>
      </c>
      <c r="D87" s="3" t="s">
        <v>36</v>
      </c>
    </row>
    <row r="88" spans="1:4" x14ac:dyDescent="0.35">
      <c r="A88" s="9">
        <v>1</v>
      </c>
      <c r="B88" s="6">
        <v>2023</v>
      </c>
      <c r="C88" s="6">
        <v>4.68</v>
      </c>
      <c r="D88" s="6">
        <f>(0.5*C88)+((1-0.5)*C88)</f>
        <v>4.68</v>
      </c>
    </row>
    <row r="89" spans="1:4" x14ac:dyDescent="0.35">
      <c r="A89" s="9">
        <v>2</v>
      </c>
      <c r="B89" s="6">
        <v>2024</v>
      </c>
      <c r="C89" s="6">
        <v>3.87</v>
      </c>
      <c r="D89" s="6">
        <f>(0.5*C89)+((1-0.5)*D88)</f>
        <v>4.2750000000000004</v>
      </c>
    </row>
    <row r="90" spans="1:4" x14ac:dyDescent="0.35">
      <c r="A90" s="9">
        <v>3</v>
      </c>
      <c r="B90" s="6">
        <v>2025</v>
      </c>
      <c r="C90" s="6">
        <v>3.84</v>
      </c>
      <c r="D90" s="6">
        <f>(0.5*C90)+((1-0.5)*D89)</f>
        <v>4.0575000000000001</v>
      </c>
    </row>
    <row r="91" spans="1:4" x14ac:dyDescent="0.35">
      <c r="A91" s="15" t="s">
        <v>56</v>
      </c>
      <c r="B91" s="15"/>
      <c r="C91" s="10" t="s">
        <v>37</v>
      </c>
    </row>
    <row r="92" spans="1:4" x14ac:dyDescent="0.35">
      <c r="A92" s="3" t="s">
        <v>35</v>
      </c>
      <c r="B92" s="3" t="s">
        <v>38</v>
      </c>
      <c r="C92" s="3" t="s">
        <v>1</v>
      </c>
      <c r="D92" s="3" t="s">
        <v>36</v>
      </c>
    </row>
    <row r="93" spans="1:4" x14ac:dyDescent="0.35">
      <c r="A93" s="9">
        <v>1</v>
      </c>
      <c r="B93" s="6">
        <v>2023</v>
      </c>
      <c r="C93" s="6">
        <v>5.14</v>
      </c>
      <c r="D93" s="6">
        <f>(0.5*C93)+((1-0.5)*C93)</f>
        <v>5.14</v>
      </c>
    </row>
    <row r="94" spans="1:4" x14ac:dyDescent="0.35">
      <c r="A94" s="9">
        <v>2</v>
      </c>
      <c r="B94" s="6">
        <v>2024</v>
      </c>
      <c r="C94" s="6">
        <v>4.34</v>
      </c>
      <c r="D94" s="6">
        <f>(0.5*C94)+((1-0.5)*D93)</f>
        <v>4.74</v>
      </c>
    </row>
    <row r="95" spans="1:4" x14ac:dyDescent="0.35">
      <c r="A95" s="9">
        <v>3</v>
      </c>
      <c r="B95" s="6">
        <v>2025</v>
      </c>
      <c r="C95" s="6">
        <v>3.22</v>
      </c>
      <c r="D95" s="6">
        <f>(0.5*C95)+((1-0.5)*D94)</f>
        <v>3.9800000000000004</v>
      </c>
    </row>
    <row r="96" spans="1:4" x14ac:dyDescent="0.35">
      <c r="A96" s="15" t="s">
        <v>57</v>
      </c>
      <c r="B96" s="15"/>
      <c r="C96" s="10" t="s">
        <v>37</v>
      </c>
    </row>
    <row r="97" spans="1:4" x14ac:dyDescent="0.35">
      <c r="A97" s="3" t="s">
        <v>35</v>
      </c>
      <c r="B97" s="3" t="s">
        <v>38</v>
      </c>
      <c r="C97" s="3" t="s">
        <v>1</v>
      </c>
      <c r="D97" s="3" t="s">
        <v>36</v>
      </c>
    </row>
    <row r="98" spans="1:4" x14ac:dyDescent="0.35">
      <c r="A98" s="9">
        <v>1</v>
      </c>
      <c r="B98" s="6">
        <v>2023</v>
      </c>
      <c r="C98" s="6">
        <v>4.16</v>
      </c>
      <c r="D98" s="6">
        <f>(0.5*C98)+((1-0.5)*C98)</f>
        <v>4.16</v>
      </c>
    </row>
    <row r="99" spans="1:4" x14ac:dyDescent="0.35">
      <c r="A99" s="9">
        <v>2</v>
      </c>
      <c r="B99" s="6">
        <v>2024</v>
      </c>
      <c r="C99" s="6">
        <v>3.28</v>
      </c>
      <c r="D99" s="6">
        <f>(0.5*C99)+((1-0.5)*D98)</f>
        <v>3.7199999999999998</v>
      </c>
    </row>
    <row r="100" spans="1:4" x14ac:dyDescent="0.35">
      <c r="A100" s="9">
        <v>3</v>
      </c>
      <c r="B100" s="6">
        <v>2025</v>
      </c>
      <c r="C100" s="6">
        <v>3.26</v>
      </c>
      <c r="D100" s="6">
        <f>(0.5*C100)+((1-0.5)*D99)</f>
        <v>3.4899999999999998</v>
      </c>
    </row>
    <row r="101" spans="1:4" x14ac:dyDescent="0.35">
      <c r="A101" s="15" t="s">
        <v>58</v>
      </c>
      <c r="B101" s="15"/>
      <c r="C101" s="10" t="s">
        <v>37</v>
      </c>
    </row>
    <row r="102" spans="1:4" x14ac:dyDescent="0.35">
      <c r="A102" s="3" t="s">
        <v>35</v>
      </c>
      <c r="B102" s="3" t="s">
        <v>38</v>
      </c>
      <c r="C102" s="3" t="s">
        <v>1</v>
      </c>
      <c r="D102" s="3" t="s">
        <v>36</v>
      </c>
    </row>
    <row r="103" spans="1:4" x14ac:dyDescent="0.35">
      <c r="A103" s="9">
        <v>1</v>
      </c>
      <c r="B103" s="6">
        <v>2023</v>
      </c>
      <c r="C103" s="6">
        <v>2.41</v>
      </c>
      <c r="D103" s="6">
        <f>(0.5*C103)+((1-0.5)*C103)</f>
        <v>2.41</v>
      </c>
    </row>
    <row r="104" spans="1:4" x14ac:dyDescent="0.35">
      <c r="A104" s="9">
        <v>2</v>
      </c>
      <c r="B104" s="6">
        <v>2024</v>
      </c>
      <c r="C104" s="6">
        <v>2.4</v>
      </c>
      <c r="D104" s="6">
        <f>(0.5*C104)+((1-0.5)*D103)</f>
        <v>2.4050000000000002</v>
      </c>
    </row>
    <row r="105" spans="1:4" x14ac:dyDescent="0.35">
      <c r="A105" s="9">
        <v>3</v>
      </c>
      <c r="B105" s="6">
        <v>2025</v>
      </c>
      <c r="C105" s="6">
        <v>2.2599999999999998</v>
      </c>
      <c r="D105" s="6">
        <f>(0.5*C105)+((1-0.5)*D104)</f>
        <v>2.3325</v>
      </c>
    </row>
    <row r="106" spans="1:4" x14ac:dyDescent="0.35">
      <c r="A106" s="15" t="s">
        <v>59</v>
      </c>
      <c r="B106" s="15"/>
      <c r="C106" s="10" t="s">
        <v>37</v>
      </c>
    </row>
    <row r="107" spans="1:4" x14ac:dyDescent="0.35">
      <c r="A107" s="3" t="s">
        <v>35</v>
      </c>
      <c r="B107" s="3" t="s">
        <v>38</v>
      </c>
      <c r="C107" s="3" t="s">
        <v>1</v>
      </c>
      <c r="D107" s="3" t="s">
        <v>36</v>
      </c>
    </row>
    <row r="108" spans="1:4" x14ac:dyDescent="0.35">
      <c r="A108" s="9">
        <v>1</v>
      </c>
      <c r="B108" s="6">
        <v>2023</v>
      </c>
      <c r="C108" s="6">
        <v>4.63</v>
      </c>
      <c r="D108" s="6">
        <f>(0.5*C108)+((1-0.5)*C108)</f>
        <v>4.63</v>
      </c>
    </row>
    <row r="109" spans="1:4" x14ac:dyDescent="0.35">
      <c r="A109" s="9">
        <v>2</v>
      </c>
      <c r="B109" s="6">
        <v>2024</v>
      </c>
      <c r="C109" s="6">
        <v>4.42</v>
      </c>
      <c r="D109" s="6">
        <f>(0.5*C109)+((1-0.5)*D108)</f>
        <v>4.5250000000000004</v>
      </c>
    </row>
    <row r="110" spans="1:4" x14ac:dyDescent="0.35">
      <c r="A110" s="9">
        <v>3</v>
      </c>
      <c r="B110" s="6">
        <v>2025</v>
      </c>
      <c r="C110" s="6">
        <v>3.9</v>
      </c>
      <c r="D110" s="6">
        <f>(0.5*C110)+((1-0.5)*D109)</f>
        <v>4.2125000000000004</v>
      </c>
    </row>
    <row r="111" spans="1:4" x14ac:dyDescent="0.35">
      <c r="A111" s="15" t="s">
        <v>60</v>
      </c>
      <c r="B111" s="15"/>
      <c r="C111" s="10" t="s">
        <v>37</v>
      </c>
    </row>
    <row r="112" spans="1:4" x14ac:dyDescent="0.35">
      <c r="A112" s="3" t="s">
        <v>35</v>
      </c>
      <c r="B112" s="3" t="s">
        <v>38</v>
      </c>
      <c r="C112" s="3" t="s">
        <v>1</v>
      </c>
      <c r="D112" s="3" t="s">
        <v>36</v>
      </c>
    </row>
    <row r="113" spans="1:4" x14ac:dyDescent="0.35">
      <c r="A113" s="9">
        <v>1</v>
      </c>
      <c r="B113" s="6">
        <v>2023</v>
      </c>
      <c r="C113" s="6">
        <v>4.4000000000000004</v>
      </c>
      <c r="D113" s="6">
        <f>(0.5*C113)+((1-0.5)*C113)</f>
        <v>4.4000000000000004</v>
      </c>
    </row>
    <row r="114" spans="1:4" x14ac:dyDescent="0.35">
      <c r="A114" s="9">
        <v>2</v>
      </c>
      <c r="B114" s="6">
        <v>2024</v>
      </c>
      <c r="C114" s="6">
        <v>4.28</v>
      </c>
      <c r="D114" s="6">
        <f>(0.5*C114)+((1-0.5)*D113)</f>
        <v>4.34</v>
      </c>
    </row>
    <row r="115" spans="1:4" x14ac:dyDescent="0.35">
      <c r="A115" s="9">
        <v>3</v>
      </c>
      <c r="B115" s="6">
        <v>2025</v>
      </c>
      <c r="C115" s="6">
        <v>3.44</v>
      </c>
      <c r="D115" s="6">
        <f>(0.5*C115)+((1-0.5)*D114)</f>
        <v>3.8899999999999997</v>
      </c>
    </row>
    <row r="116" spans="1:4" x14ac:dyDescent="0.35">
      <c r="A116" s="15" t="s">
        <v>61</v>
      </c>
      <c r="B116" s="15"/>
      <c r="C116" s="10" t="s">
        <v>37</v>
      </c>
    </row>
    <row r="117" spans="1:4" x14ac:dyDescent="0.35">
      <c r="A117" s="3" t="s">
        <v>35</v>
      </c>
      <c r="B117" s="3" t="s">
        <v>38</v>
      </c>
      <c r="C117" s="3" t="s">
        <v>1</v>
      </c>
      <c r="D117" s="3" t="s">
        <v>36</v>
      </c>
    </row>
    <row r="118" spans="1:4" x14ac:dyDescent="0.35">
      <c r="A118" s="9">
        <v>1</v>
      </c>
      <c r="B118" s="6">
        <v>2023</v>
      </c>
      <c r="C118" s="6">
        <v>5.46</v>
      </c>
      <c r="D118" s="6">
        <f>(0.5*C118)+((1-0.5)*C118)</f>
        <v>5.46</v>
      </c>
    </row>
    <row r="119" spans="1:4" x14ac:dyDescent="0.35">
      <c r="A119" s="9">
        <v>2</v>
      </c>
      <c r="B119" s="6">
        <v>2024</v>
      </c>
      <c r="C119" s="6">
        <v>4.34</v>
      </c>
      <c r="D119" s="6">
        <f>(0.5*C119)+((1-0.5)*D118)</f>
        <v>4.9000000000000004</v>
      </c>
    </row>
    <row r="120" spans="1:4" x14ac:dyDescent="0.35">
      <c r="A120" s="9">
        <v>3</v>
      </c>
      <c r="B120" s="6">
        <v>2025</v>
      </c>
      <c r="C120" s="6">
        <v>4.29</v>
      </c>
      <c r="D120" s="6">
        <f>(0.5*C120)+((1-0.5)*D119)</f>
        <v>4.5950000000000006</v>
      </c>
    </row>
    <row r="121" spans="1:4" x14ac:dyDescent="0.35">
      <c r="A121" s="15" t="s">
        <v>62</v>
      </c>
      <c r="B121" s="15"/>
      <c r="C121" s="10" t="s">
        <v>37</v>
      </c>
    </row>
    <row r="122" spans="1:4" x14ac:dyDescent="0.35">
      <c r="A122" s="3" t="s">
        <v>35</v>
      </c>
      <c r="B122" s="3" t="s">
        <v>38</v>
      </c>
      <c r="C122" s="3" t="s">
        <v>1</v>
      </c>
      <c r="D122" s="3" t="s">
        <v>36</v>
      </c>
    </row>
    <row r="123" spans="1:4" x14ac:dyDescent="0.35">
      <c r="A123" s="9">
        <v>1</v>
      </c>
      <c r="B123" s="6">
        <v>2023</v>
      </c>
      <c r="C123" s="6">
        <v>6.82</v>
      </c>
      <c r="D123" s="6">
        <f>(0.5*C123)+((1-0.5)*C123)</f>
        <v>6.82</v>
      </c>
    </row>
    <row r="124" spans="1:4" x14ac:dyDescent="0.35">
      <c r="A124" s="9">
        <v>2</v>
      </c>
      <c r="B124" s="6">
        <v>2024</v>
      </c>
      <c r="C124" s="6">
        <v>6.45</v>
      </c>
      <c r="D124" s="6">
        <f>(0.5*C124)+((1-0.5)*D123)</f>
        <v>6.6349999999999998</v>
      </c>
    </row>
    <row r="125" spans="1:4" x14ac:dyDescent="0.35">
      <c r="A125" s="9">
        <v>3</v>
      </c>
      <c r="B125" s="6">
        <v>2025</v>
      </c>
      <c r="C125" s="6">
        <v>5.47</v>
      </c>
      <c r="D125" s="6">
        <f>(0.5*C125)+((1-0.5)*D124)</f>
        <v>6.0525000000000002</v>
      </c>
    </row>
    <row r="126" spans="1:4" x14ac:dyDescent="0.35">
      <c r="A126" s="15" t="s">
        <v>63</v>
      </c>
      <c r="B126" s="15"/>
      <c r="C126" s="10" t="s">
        <v>37</v>
      </c>
    </row>
    <row r="127" spans="1:4" x14ac:dyDescent="0.35">
      <c r="A127" s="3" t="s">
        <v>35</v>
      </c>
      <c r="B127" s="3" t="s">
        <v>38</v>
      </c>
      <c r="C127" s="3" t="s">
        <v>1</v>
      </c>
      <c r="D127" s="3" t="s">
        <v>36</v>
      </c>
    </row>
    <row r="128" spans="1:4" x14ac:dyDescent="0.35">
      <c r="A128" s="9">
        <v>1</v>
      </c>
      <c r="B128" s="6">
        <v>2023</v>
      </c>
      <c r="C128" s="6">
        <v>6.18</v>
      </c>
      <c r="D128" s="6">
        <f>(0.5*C128)+((1-0.5)*C128)</f>
        <v>6.18</v>
      </c>
    </row>
    <row r="129" spans="1:4" x14ac:dyDescent="0.35">
      <c r="A129" s="9">
        <v>2</v>
      </c>
      <c r="B129" s="6">
        <v>2024</v>
      </c>
      <c r="C129" s="6">
        <v>5.35</v>
      </c>
      <c r="D129" s="6">
        <f>(0.5*C129)+((1-0.5)*D128)</f>
        <v>5.7649999999999997</v>
      </c>
    </row>
    <row r="130" spans="1:4" x14ac:dyDescent="0.35">
      <c r="A130" s="9">
        <v>3</v>
      </c>
      <c r="B130" s="6">
        <v>2025</v>
      </c>
      <c r="C130" s="6">
        <v>5.31</v>
      </c>
      <c r="D130" s="6">
        <f>(0.5*C130)+((1-0.5)*D129)</f>
        <v>5.5374999999999996</v>
      </c>
    </row>
    <row r="131" spans="1:4" x14ac:dyDescent="0.35">
      <c r="A131" s="15" t="s">
        <v>64</v>
      </c>
      <c r="B131" s="15"/>
      <c r="C131" s="10" t="s">
        <v>37</v>
      </c>
    </row>
    <row r="132" spans="1:4" x14ac:dyDescent="0.35">
      <c r="A132" s="3" t="s">
        <v>35</v>
      </c>
      <c r="B132" s="3" t="s">
        <v>38</v>
      </c>
      <c r="C132" s="3" t="s">
        <v>1</v>
      </c>
      <c r="D132" s="3" t="s">
        <v>36</v>
      </c>
    </row>
    <row r="133" spans="1:4" x14ac:dyDescent="0.35">
      <c r="A133" s="9">
        <v>1</v>
      </c>
      <c r="B133" s="6">
        <v>2023</v>
      </c>
      <c r="C133" s="6">
        <v>2.72</v>
      </c>
      <c r="D133" s="6">
        <f>(0.5*C133)+((1-0.5)*C133)</f>
        <v>2.72</v>
      </c>
    </row>
    <row r="134" spans="1:4" x14ac:dyDescent="0.35">
      <c r="A134" s="9">
        <v>2</v>
      </c>
      <c r="B134" s="6">
        <v>2024</v>
      </c>
      <c r="C134" s="6">
        <v>2.5</v>
      </c>
      <c r="D134" s="6">
        <f>(0.5*C134)+((1-0.5)*D133)</f>
        <v>2.6100000000000003</v>
      </c>
    </row>
    <row r="135" spans="1:4" x14ac:dyDescent="0.35">
      <c r="A135" s="9">
        <v>3</v>
      </c>
      <c r="B135" s="6">
        <v>2025</v>
      </c>
      <c r="C135" s="6">
        <v>2.44</v>
      </c>
      <c r="D135" s="6">
        <f>(0.5*C135)+((1-0.5)*D134)</f>
        <v>2.5250000000000004</v>
      </c>
    </row>
    <row r="136" spans="1:4" x14ac:dyDescent="0.35">
      <c r="A136" s="15" t="s">
        <v>65</v>
      </c>
      <c r="B136" s="15"/>
      <c r="C136" s="10" t="s">
        <v>37</v>
      </c>
    </row>
    <row r="137" spans="1:4" x14ac:dyDescent="0.35">
      <c r="A137" s="3" t="s">
        <v>35</v>
      </c>
      <c r="B137" s="3" t="s">
        <v>38</v>
      </c>
      <c r="C137" s="3" t="s">
        <v>1</v>
      </c>
      <c r="D137" s="3" t="s">
        <v>36</v>
      </c>
    </row>
    <row r="138" spans="1:4" x14ac:dyDescent="0.35">
      <c r="A138" s="9">
        <v>1</v>
      </c>
      <c r="B138" s="6">
        <v>2023</v>
      </c>
      <c r="C138" s="6">
        <v>1.74</v>
      </c>
      <c r="D138" s="6">
        <f>(0.5*C138)+((1-0.5)*C138)</f>
        <v>1.74</v>
      </c>
    </row>
    <row r="139" spans="1:4" x14ac:dyDescent="0.35">
      <c r="A139" s="9">
        <v>2</v>
      </c>
      <c r="B139" s="6">
        <v>2024</v>
      </c>
      <c r="C139" s="6">
        <v>1.64</v>
      </c>
      <c r="D139" s="6">
        <f>(0.5*C139)+((1-0.5)*D138)</f>
        <v>1.69</v>
      </c>
    </row>
    <row r="140" spans="1:4" x14ac:dyDescent="0.35">
      <c r="A140" s="9">
        <v>3</v>
      </c>
      <c r="B140" s="6">
        <v>2025</v>
      </c>
      <c r="C140" s="6">
        <v>1.33</v>
      </c>
      <c r="D140" s="6">
        <f>(0.5*C140)+((1-0.5)*D139)</f>
        <v>1.51</v>
      </c>
    </row>
    <row r="141" spans="1:4" x14ac:dyDescent="0.35">
      <c r="A141" s="15" t="s">
        <v>66</v>
      </c>
      <c r="B141" s="15"/>
      <c r="C141" s="10" t="s">
        <v>37</v>
      </c>
    </row>
    <row r="142" spans="1:4" x14ac:dyDescent="0.35">
      <c r="A142" s="3" t="s">
        <v>35</v>
      </c>
      <c r="B142" s="3" t="s">
        <v>38</v>
      </c>
      <c r="C142" s="3" t="s">
        <v>1</v>
      </c>
      <c r="D142" s="3" t="s">
        <v>36</v>
      </c>
    </row>
    <row r="143" spans="1:4" x14ac:dyDescent="0.35">
      <c r="A143" s="9">
        <v>1</v>
      </c>
      <c r="B143" s="6">
        <v>2023</v>
      </c>
      <c r="C143" s="6">
        <v>1.71</v>
      </c>
      <c r="D143" s="6">
        <f>(0.5*C143)+((1-0.5)*C143)</f>
        <v>1.71</v>
      </c>
    </row>
    <row r="144" spans="1:4" x14ac:dyDescent="0.35">
      <c r="A144" s="9">
        <v>2</v>
      </c>
      <c r="B144" s="6">
        <v>2024</v>
      </c>
      <c r="C144" s="6">
        <v>1.69</v>
      </c>
      <c r="D144" s="6">
        <f>(0.5*C144)+((1-0.5)*D143)</f>
        <v>1.7</v>
      </c>
    </row>
    <row r="145" spans="1:4" x14ac:dyDescent="0.35">
      <c r="A145" s="9">
        <v>3</v>
      </c>
      <c r="B145" s="6">
        <v>2025</v>
      </c>
      <c r="C145" s="6">
        <v>1.64</v>
      </c>
      <c r="D145" s="6">
        <f>(0.5*C145)+((1-0.5)*D144)</f>
        <v>1.67</v>
      </c>
    </row>
  </sheetData>
  <mergeCells count="38">
    <mergeCell ref="A126:B126"/>
    <mergeCell ref="A131:B131"/>
    <mergeCell ref="A136:B136"/>
    <mergeCell ref="A141:B141"/>
    <mergeCell ref="G1:H1"/>
    <mergeCell ref="G6:H6"/>
    <mergeCell ref="G11:H11"/>
    <mergeCell ref="G16:H16"/>
    <mergeCell ref="G21:H21"/>
    <mergeCell ref="G26:H26"/>
    <mergeCell ref="G31:H31"/>
    <mergeCell ref="G36:H36"/>
    <mergeCell ref="G41:H41"/>
    <mergeCell ref="A101:B101"/>
    <mergeCell ref="A106:B106"/>
    <mergeCell ref="A111:B111"/>
    <mergeCell ref="A116:B116"/>
    <mergeCell ref="A121:B121"/>
    <mergeCell ref="A76:B76"/>
    <mergeCell ref="A81:B81"/>
    <mergeCell ref="A86:B86"/>
    <mergeCell ref="A91:B91"/>
    <mergeCell ref="A96:B96"/>
    <mergeCell ref="A51:B51"/>
    <mergeCell ref="A56:B56"/>
    <mergeCell ref="A61:B61"/>
    <mergeCell ref="A66:B66"/>
    <mergeCell ref="A71:B71"/>
    <mergeCell ref="A26:B26"/>
    <mergeCell ref="A31:B31"/>
    <mergeCell ref="A36:B36"/>
    <mergeCell ref="A41:B41"/>
    <mergeCell ref="A46:B46"/>
    <mergeCell ref="A1:B1"/>
    <mergeCell ref="A6:B6"/>
    <mergeCell ref="A11:B11"/>
    <mergeCell ref="A16:B16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2026-03-28T16:16:10Z</dcterms:created>
  <dcterms:modified xsi:type="dcterms:W3CDTF">2026-06-22T07:49:59Z</dcterms:modified>
</cp:coreProperties>
</file>